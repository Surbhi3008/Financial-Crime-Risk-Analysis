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21a9ace73ca6b0db/Documents/Surbhi/Study Analytics/Financial-Crime-Risk-Analysis/dashboard/"/>
    </mc:Choice>
  </mc:AlternateContent>
  <xr:revisionPtr revIDLastSave="3233" documentId="8_{1AA8FE41-8A38-4F44-9009-5D5AFA6D974E}" xr6:coauthVersionLast="47" xr6:coauthVersionMax="47" xr10:uidLastSave="{3D353274-4C2B-4B41-9A90-F18560AA43D3}"/>
  <bookViews>
    <workbookView xWindow="-108" yWindow="-108" windowWidth="23256" windowHeight="12456" xr2:uid="{A10FC8CD-9F07-4F64-B266-9EA126F63467}"/>
  </bookViews>
  <sheets>
    <sheet name="tblcustomers" sheetId="1" r:id="rId1"/>
    <sheet name="Pivot" sheetId="3" r:id="rId2"/>
    <sheet name="Dashboard" sheetId="2" r:id="rId3"/>
  </sheets>
  <definedNames>
    <definedName name="Slicer_Country">#N/A</definedName>
    <definedName name="Slicer_Occupation">#N/A</definedName>
    <definedName name="Slicer_PEP">#N/A</definedName>
    <definedName name="Slicer_Risk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3" l="1"/>
  <c r="B35" i="3"/>
  <c r="B34" i="3"/>
  <c r="B33" i="3"/>
  <c r="B32" i="3"/>
  <c r="B31" i="3"/>
</calcChain>
</file>

<file path=xl/sharedStrings.xml><?xml version="1.0" encoding="utf-8"?>
<sst xmlns="http://schemas.openxmlformats.org/spreadsheetml/2006/main" count="3062" uniqueCount="554">
  <si>
    <t>Customer_ID</t>
  </si>
  <si>
    <t>Age</t>
  </si>
  <si>
    <t>Country</t>
  </si>
  <si>
    <t>Occupation</t>
  </si>
  <si>
    <t>Annual_Income</t>
  </si>
  <si>
    <t>Monthly_Transactions</t>
  </si>
  <si>
    <t>Avg_Transaction_Value</t>
  </si>
  <si>
    <t>PEP</t>
  </si>
  <si>
    <t>High_Risk_Country</t>
  </si>
  <si>
    <t>Risk_Score</t>
  </si>
  <si>
    <t>Risk_Category</t>
  </si>
  <si>
    <t>C0001</t>
  </si>
  <si>
    <t>USA</t>
  </si>
  <si>
    <t>Salaried</t>
  </si>
  <si>
    <t>No</t>
  </si>
  <si>
    <t>Medium Risk</t>
  </si>
  <si>
    <t>C0002</t>
  </si>
  <si>
    <t>Student</t>
  </si>
  <si>
    <t>Low Risk</t>
  </si>
  <si>
    <t>C0003</t>
  </si>
  <si>
    <t>India</t>
  </si>
  <si>
    <t>C0004</t>
  </si>
  <si>
    <t>Singapore</t>
  </si>
  <si>
    <t>Cash Intensive Business</t>
  </si>
  <si>
    <t>Yes</t>
  </si>
  <si>
    <t>High Risk</t>
  </si>
  <si>
    <t>C0005</t>
  </si>
  <si>
    <t>UAE</t>
  </si>
  <si>
    <t>Consultant</t>
  </si>
  <si>
    <t>C0006</t>
  </si>
  <si>
    <t>Iran</t>
  </si>
  <si>
    <t>C0007</t>
  </si>
  <si>
    <t>Russia</t>
  </si>
  <si>
    <t>C0008</t>
  </si>
  <si>
    <t>C0009</t>
  </si>
  <si>
    <t>C0010</t>
  </si>
  <si>
    <t>Business Owner</t>
  </si>
  <si>
    <t>C0011</t>
  </si>
  <si>
    <t>C0012</t>
  </si>
  <si>
    <t>C0013</t>
  </si>
  <si>
    <t>Syria</t>
  </si>
  <si>
    <t>Politician</t>
  </si>
  <si>
    <t>C0014</t>
  </si>
  <si>
    <t>C0015</t>
  </si>
  <si>
    <t>C0016</t>
  </si>
  <si>
    <t>UK</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</si>
  <si>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</si>
  <si>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</si>
  <si>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</si>
  <si>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</si>
  <si>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</si>
  <si>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</si>
  <si>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</si>
  <si>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</si>
  <si>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</si>
  <si>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</si>
  <si>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</si>
  <si>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</si>
  <si>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</si>
  <si>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</si>
  <si>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</si>
  <si>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</si>
  <si>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</si>
  <si>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</si>
  <si>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</si>
  <si>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</si>
  <si>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</si>
  <si>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</si>
  <si>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</si>
  <si>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</si>
  <si>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</si>
  <si>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</si>
  <si>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</si>
  <si>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</si>
  <si>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</si>
  <si>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</si>
  <si>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</si>
  <si>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</si>
  <si>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</si>
  <si>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</si>
  <si>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</si>
  <si>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</si>
  <si>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</si>
  <si>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</si>
  <si>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</si>
  <si>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</si>
  <si>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</si>
  <si>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</si>
  <si>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</si>
  <si>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</si>
  <si>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</si>
  <si>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</si>
  <si>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</si>
  <si>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</si>
  <si>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</si>
  <si>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</si>
  <si>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</si>
  <si>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</si>
  <si>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</si>
  <si>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</si>
  <si>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</si>
  <si>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</si>
  <si>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</si>
  <si>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</si>
  <si>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</si>
  <si>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</si>
  <si>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</si>
  <si>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</si>
  <si>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</si>
  <si>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</si>
  <si>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</si>
  <si>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</si>
  <si>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</si>
  <si>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</si>
  <si>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</si>
  <si>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</si>
  <si>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</si>
  <si>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</si>
  <si>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</si>
  <si>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</si>
  <si>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</si>
  <si>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</si>
  <si>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</si>
  <si>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</si>
  <si>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</si>
  <si>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</si>
  <si>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</si>
  <si>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</si>
  <si>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</si>
  <si>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</si>
  <si>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</si>
  <si>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</si>
  <si>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</si>
  <si>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</si>
  <si>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</si>
  <si>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</si>
  <si>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</si>
  <si>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</si>
  <si>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</si>
  <si>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</si>
  <si>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</si>
  <si>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</si>
  <si>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</si>
  <si>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</si>
  <si>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</si>
  <si>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</si>
  <si>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</si>
  <si>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</si>
  <si>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</si>
  <si>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</si>
  <si>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</si>
  <si>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</si>
  <si>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</si>
  <si>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</si>
  <si>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</si>
  <si>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</si>
  <si>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</si>
  <si>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</si>
  <si>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</si>
  <si>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</si>
  <si>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</si>
  <si>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</si>
  <si>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</si>
  <si>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</si>
  <si>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</si>
  <si>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</si>
  <si>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</si>
  <si>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</si>
  <si>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</si>
  <si>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</si>
  <si>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</si>
  <si>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</si>
  <si>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</si>
  <si>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</si>
  <si>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</si>
  <si>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</si>
  <si>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</si>
  <si>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</si>
  <si>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</si>
  <si>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</si>
  <si>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</si>
  <si>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</si>
  <si>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</si>
  <si>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</si>
  <si>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</si>
  <si>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</si>
  <si>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</si>
  <si>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</si>
  <si>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</si>
  <si>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</si>
  <si>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</si>
  <si>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</si>
  <si>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</si>
  <si>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</si>
  <si>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</si>
  <si>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</si>
  <si>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</si>
  <si>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</si>
  <si>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</si>
  <si>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</si>
  <si>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</si>
  <si>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</si>
  <si>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</si>
  <si>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</si>
  <si>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</si>
  <si>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</si>
  <si>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</si>
  <si>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</si>
  <si>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</si>
  <si>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</si>
  <si>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</si>
  <si>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</si>
  <si>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</si>
  <si>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</si>
  <si>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</si>
  <si>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</si>
  <si>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</si>
  <si>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</si>
  <si>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</si>
  <si>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</si>
  <si>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</si>
  <si>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</si>
  <si>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</si>
  <si>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</si>
  <si>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</si>
  <si>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</si>
  <si>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</si>
  <si>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</si>
  <si>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</si>
  <si>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</si>
  <si>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</si>
  <si>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</si>
  <si>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</si>
  <si>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</si>
  <si>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</si>
  <si>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</si>
  <si>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</si>
  <si>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</si>
  <si>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</si>
  <si>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</si>
  <si>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</si>
  <si>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</si>
  <si>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</si>
  <si>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</si>
  <si>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</si>
  <si>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</si>
  <si>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</si>
  <si>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</si>
  <si>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</si>
  <si>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</si>
  <si>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</si>
  <si>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</si>
  <si>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</si>
  <si>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</si>
  <si>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</si>
  <si>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</si>
  <si>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</si>
  <si>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</si>
  <si>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</si>
  <si>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</si>
  <si>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</si>
  <si>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</si>
  <si>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</si>
  <si>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</si>
  <si>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</si>
  <si>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</si>
  <si>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</si>
  <si>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</si>
  <si>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</si>
  <si>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</si>
  <si>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</si>
  <si>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</si>
  <si>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</si>
  <si>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</si>
  <si>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</si>
  <si>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</si>
  <si>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</si>
  <si>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</si>
  <si>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</si>
  <si>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</si>
  <si>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</si>
  <si>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</si>
  <si>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</si>
  <si>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</si>
  <si>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</si>
  <si>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</si>
  <si>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</si>
  <si>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</si>
  <si>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</si>
  <si>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</si>
  <si>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</si>
  <si>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</si>
  <si>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</si>
  <si>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</si>
  <si>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</si>
  <si>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</si>
  <si>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</si>
  <si>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</si>
  <si>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</si>
  <si>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</si>
  <si>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</si>
  <si>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</si>
  <si>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</si>
  <si>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</si>
  <si>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</si>
  <si>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</si>
  <si>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</si>
  <si>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</si>
  <si>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</si>
  <si>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</si>
  <si>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</si>
  <si>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</si>
  <si>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</si>
  <si>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</si>
  <si>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</si>
  <si>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</si>
  <si>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</si>
  <si>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</si>
  <si>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</si>
  <si>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</si>
  <si>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</si>
  <si>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</si>
  <si>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</si>
  <si>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</si>
  <si>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</si>
  <si>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</si>
  <si>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</si>
  <si>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</si>
  <si>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</si>
  <si>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</si>
  <si>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</si>
  <si>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</si>
  <si>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</si>
  <si>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</si>
  <si>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</si>
  <si>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</si>
  <si>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</si>
  <si>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</si>
  <si>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</si>
  <si>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</si>
  <si>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</si>
  <si>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</si>
  <si>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</si>
  <si>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</si>
  <si>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</si>
  <si>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</si>
  <si>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</si>
  <si>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</si>
  <si>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</si>
  <si>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</si>
  <si>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</si>
  <si>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</si>
  <si>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</si>
  <si>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</si>
  <si>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</si>
  <si>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</si>
  <si>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</si>
  <si>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</si>
  <si>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</si>
  <si>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</si>
  <si>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</si>
  <si>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</si>
  <si>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</si>
  <si>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</si>
  <si>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</si>
  <si>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</si>
  <si>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</si>
  <si>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</si>
  <si>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</si>
  <si>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</si>
  <si>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</si>
  <si>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</si>
  <si>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</si>
  <si>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</si>
  <si>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</si>
  <si>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</si>
  <si>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</si>
  <si>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</si>
  <si>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</si>
  <si>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</si>
  <si>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</si>
  <si>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</si>
  <si>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</si>
  <si>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</si>
  <si>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</si>
  <si>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</si>
  <si>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</si>
  <si>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</si>
  <si>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</si>
  <si>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</si>
  <si>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</si>
  <si>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</si>
  <si>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</si>
  <si>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</si>
  <si>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</si>
  <si>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</si>
  <si>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</si>
  <si>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</si>
  <si>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</si>
  <si>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</si>
  <si>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</si>
  <si>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</si>
  <si>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</si>
  <si>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</si>
  <si>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</si>
  <si>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</si>
  <si>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</si>
  <si>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</si>
  <si>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</si>
  <si>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</si>
  <si>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</si>
  <si>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</si>
  <si>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</si>
  <si>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</si>
  <si>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</si>
  <si>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</si>
  <si>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</si>
  <si>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</si>
  <si>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</si>
  <si>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</si>
  <si>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</si>
  <si>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</si>
  <si>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</si>
  <si>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</si>
  <si>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</si>
  <si>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</si>
  <si>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</si>
  <si>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</si>
  <si>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</si>
  <si>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</si>
  <si>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</si>
  <si>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</si>
  <si>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</si>
  <si>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</si>
  <si>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</si>
  <si>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</si>
  <si>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</si>
  <si>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</si>
  <si>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</si>
  <si>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</si>
  <si>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</si>
  <si>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</si>
  <si>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</si>
  <si>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</si>
  <si>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</si>
  <si>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</si>
  <si>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</si>
  <si>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</si>
  <si>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</si>
  <si>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</si>
  <si>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</si>
  <si>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</si>
  <si>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</si>
  <si>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</si>
  <si>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</si>
  <si>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</si>
  <si>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</si>
  <si>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</si>
  <si>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</si>
  <si>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</si>
  <si>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</si>
  <si>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</si>
  <si>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</si>
  <si>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</si>
  <si>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</si>
  <si>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</si>
  <si>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</si>
  <si>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</si>
  <si>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</si>
  <si>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</si>
  <si>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</si>
  <si>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</si>
  <si>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</si>
  <si>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</si>
  <si>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</si>
  <si>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</si>
  <si>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</si>
  <si>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</si>
  <si>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</si>
  <si>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</si>
  <si>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</si>
  <si>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</si>
  <si>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</si>
  <si>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</si>
  <si>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</si>
  <si>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</si>
  <si>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</si>
  <si>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</si>
  <si>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</si>
  <si>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</si>
  <si>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</si>
  <si>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</si>
  <si>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</si>
  <si>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</si>
  <si>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</si>
  <si>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</si>
  <si>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</si>
  <si>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</si>
  <si>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</si>
  <si>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</si>
  <si>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</si>
  <si>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</si>
  <si>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</si>
  <si>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</si>
  <si>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</si>
  <si>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</si>
  <si>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</si>
  <si>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</si>
  <si>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</si>
  <si>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</si>
  <si>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</si>
  <si>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</si>
  <si>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</si>
  <si>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</si>
  <si>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</si>
  <si>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</si>
  <si>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</si>
  <si>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</si>
  <si>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</si>
  <si>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</si>
  <si>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</si>
  <si>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</si>
  <si>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</si>
  <si>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</si>
  <si>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</si>
  <si>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</si>
  <si>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</si>
  <si>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</si>
  <si>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</si>
  <si>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</si>
  <si>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Metric</t>
  </si>
  <si>
    <t>Formula</t>
  </si>
  <si>
    <t>Total Customers</t>
  </si>
  <si>
    <t>High Risk Customers</t>
  </si>
  <si>
    <t>Medium Risk Customers</t>
  </si>
  <si>
    <t>Low Risk Customers</t>
  </si>
  <si>
    <t>PEP Customers</t>
  </si>
  <si>
    <t>Average Risk Score</t>
  </si>
  <si>
    <t>Row Labels</t>
  </si>
  <si>
    <t>Grand Total</t>
  </si>
  <si>
    <t>Count of Customer_ID</t>
  </si>
  <si>
    <t>Pivot Tables</t>
  </si>
  <si>
    <t>Average of Risk_Score</t>
  </si>
  <si>
    <t>PEP vs Non-PEP Analysis</t>
  </si>
  <si>
    <t>(All)</t>
  </si>
  <si>
    <t>Customer Distribution by Risk Category</t>
  </si>
  <si>
    <t>Average Risk Score by Occupation</t>
  </si>
  <si>
    <t>Key Metrics</t>
  </si>
  <si>
    <t>Data Source: Synthetic AML Customer Dataset (500 Customers)</t>
  </si>
  <si>
    <t>Prepared by: Surbhi Sharma Panchal</t>
  </si>
  <si>
    <t xml:space="preserve">   Financial Crime Analytics &amp; Risk Monitoring</t>
  </si>
  <si>
    <t>Customer Distribution by Country</t>
  </si>
  <si>
    <t>Financial Crime Risk Analysis Dashboard</t>
  </si>
  <si>
    <t>Financial Crime Risk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</si>
</sst>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4" x14ac:knownFonts="1">
    <font>
      <sz val="28"/>
      <color theme="1"/>
      <name val="Century Schoolbook"/>
      <family val="2"/>
      <scheme val="minor"/>
    </font>
    <font>
      <sz val="28"/>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28"/>
      <color rgb="FF006100"/>
      <name val="Century Schoolbook"/>
      <family val="2"/>
      <scheme val="minor"/>
    </font>
    <font>
      <sz val="28"/>
      <color rgb="FF9C0006"/>
      <name val="Century Schoolbook"/>
      <family val="2"/>
      <scheme val="minor"/>
    </font>
    <font>
      <sz val="28"/>
      <color rgb="FF9C5700"/>
      <name val="Century Schoolbook"/>
      <family val="2"/>
      <scheme val="minor"/>
    </font>
    <font>
      <sz val="28"/>
      <color rgb="FF3F3F76"/>
      <name val="Century Schoolbook"/>
      <family val="2"/>
      <scheme val="minor"/>
    </font>
    <font>
      <b/>
      <sz val="28"/>
      <color rgb="FF3F3F3F"/>
      <name val="Century Schoolbook"/>
      <family val="2"/>
      <scheme val="minor"/>
    </font>
    <font>
      <b/>
      <sz val="28"/>
      <color rgb="FFFA7D00"/>
      <name val="Century Schoolbook"/>
      <family val="2"/>
      <scheme val="minor"/>
    </font>
    <font>
      <sz val="28"/>
      <color rgb="FFFA7D00"/>
      <name val="Century Schoolbook"/>
      <family val="2"/>
      <scheme val="minor"/>
    </font>
    <font>
      <b/>
      <sz val="28"/>
      <color theme="0"/>
      <name val="Century Schoolbook"/>
      <family val="2"/>
      <scheme val="minor"/>
    </font>
    <font>
      <sz val="28"/>
      <color rgb="FFFF0000"/>
      <name val="Century Schoolbook"/>
      <family val="2"/>
      <scheme val="minor"/>
    </font>
    <font>
      <i/>
      <sz val="28"/>
      <color rgb="FF7F7F7F"/>
      <name val="Century Schoolbook"/>
      <family val="2"/>
      <scheme val="minor"/>
    </font>
    <font>
      <b/>
      <sz val="28"/>
      <color theme="1"/>
      <name val="Century Schoolbook"/>
      <family val="2"/>
      <scheme val="minor"/>
    </font>
    <font>
      <sz val="28"/>
      <color theme="0"/>
      <name val="Century Schoolbook"/>
      <family val="2"/>
      <scheme val="minor"/>
    </font>
    <font>
      <b/>
      <sz val="13.5"/>
      <color theme="1"/>
      <name val="Century Schoolbook"/>
      <family val="2"/>
      <scheme val="minor"/>
    </font>
    <font>
      <b/>
      <sz val="28"/>
      <color theme="3" tint="0.249977111117893"/>
      <name val="Century Schoolbook"/>
      <family val="2"/>
      <scheme val="minor"/>
    </font>
    <font>
      <b/>
      <sz val="48"/>
      <color theme="3" tint="0.249977111117893"/>
      <name val="Century Schoolbook"/>
      <family val="2"/>
      <scheme val="minor"/>
    </font>
    <font>
      <b/>
      <sz val="28"/>
      <color theme="1"/>
      <name val="Century Schoolbook"/>
      <family val="1"/>
      <scheme val="minor"/>
    </font>
    <font>
      <sz val="20"/>
      <color theme="1"/>
      <name val="Century Schoolbook"/>
      <family val="1"/>
      <scheme val="minor"/>
    </font>
    <font>
      <b/>
      <sz val="30"/>
      <color theme="3" tint="0.249977111117893"/>
      <name val="Century Schoolbook"/>
      <family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applyAlignment="1">
      <alignment horizontal="center" vertical="center"/>
    </xf>
    <xf numFmtId="0" fontId="0" fillId="0" borderId="0" xfId="0" applyAlignment="1">
      <alignment vertical="center"/>
    </xf>
    <xf numFmtId="0" fontId="0" fillId="0" borderId="0" xfId="0" applyAlignment="1">
      <alignment horizontal="left"/>
    </xf>
    <xf numFmtId="0" fontId="0" fillId="0" borderId="0" xfId="0" pivotButton="1"/>
    <xf numFmtId="0" fontId="16" fillId="0" borderId="0" xfId="0" applyFont="1"/>
    <xf numFmtId="164" fontId="0" fillId="0" borderId="0" xfId="0" applyNumberFormat="1"/>
    <xf numFmtId="0" fontId="21" fillId="0" borderId="0" xfId="0" applyFont="1"/>
    <xf numFmtId="0" fontId="0" fillId="33" borderId="0" xfId="0" applyFill="1"/>
    <xf numFmtId="0" fontId="19" fillId="33" borderId="0" xfId="0" applyFont="1" applyFill="1" applyAlignment="1">
      <alignment horizontal="center" vertical="center"/>
    </xf>
    <xf numFmtId="0" fontId="18" fillId="33" borderId="0" xfId="0" applyFont="1" applyFill="1" applyAlignment="1">
      <alignment vertical="center"/>
    </xf>
    <xf numFmtId="0" fontId="16" fillId="33" borderId="0" xfId="0" applyFont="1" applyFill="1" applyAlignment="1">
      <alignment horizontal="center" vertical="center"/>
    </xf>
    <xf numFmtId="0" fontId="0" fillId="33" borderId="0" xfId="0" applyFill="1" applyAlignment="1">
      <alignment vertical="center"/>
    </xf>
    <xf numFmtId="0" fontId="22" fillId="33" borderId="0" xfId="0" applyFont="1" applyFill="1" applyAlignment="1">
      <alignment horizontal="right"/>
    </xf>
    <xf numFmtId="0" fontId="19" fillId="33" borderId="0" xfId="0" applyFont="1" applyFill="1" applyAlignment="1">
      <alignment horizontal="center" vertical="center"/>
    </xf>
    <xf numFmtId="0" fontId="22" fillId="33" borderId="0" xfId="0" applyFont="1" applyFill="1" applyAlignment="1">
      <alignment horizontal="right" wrapText="1"/>
    </xf>
    <xf numFmtId="0" fontId="20" fillId="33" borderId="0" xfId="0" applyFont="1" applyFill="1" applyAlignment="1">
      <alignment horizontal="center" vertical="center"/>
    </xf>
    <xf numFmtId="0" fontId="23"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5700"/>
      </font>
      <fill>
        <patternFill>
          <bgColor rgb="FFFFEB9C"/>
        </patternFill>
      </fill>
    </dxf>
    <dxf>
      <font>
        <color rgb="FF9C0006"/>
      </font>
      <fill>
        <patternFill>
          <bgColor rgb="FFFFC7CE"/>
        </patternFill>
      </fill>
    </dxf>
    <dxf>
      <font>
        <color rgb="FF006100"/>
      </font>
      <fill>
        <patternFill>
          <bgColor rgb="FFC6EFCE"/>
        </patternFill>
      </fill>
    </dxf>
    <dxf>
      <numFmt numFmtId="164" formatCode="0.0"/>
    </dxf>
    <dxf>
      <border diagonalUp="0" diagonalDown="0">
        <left/>
        <right/>
        <top/>
        <bottom/>
        <vertical/>
        <horizontal/>
      </border>
    </dxf>
  </dxfs>
  <tableStyles count="1" defaultTableStyle="TableStyleMedium2" defaultPivotStyle="PivotStyleLight16">
    <tableStyle name="Slicer Style 1" pivot="0" table="0" count="1" xr9:uid="{6C1C0D58-9B08-401F-B42F-5AC58D630614}">
      <tableStyleElement type="wholeTable" dxfId="4"/>
    </tableStyle>
  </tableStyles>
  <colors>
    <mruColors>
      <color rgb="FFFFFFCC"/>
      <color rgb="FFE3F1F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[Dashboard_AML-KYC-Customer-Risk-Analysis.xlsx]Pivot!PivotTable1</c:name>
    <c:fmtId val="4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0" baseline="0">
                <a:solidFill>
                  <a:schemeClr val="accent1">
                    <a:lumMod val="50000"/>
                  </a:schemeClr>
                </a:solidFill>
                <a:latin typeface="+mn-lt"/>
                <a:ea typeface="+mn-ea"/>
                <a:cs typeface="+mn-cs"/>
              </a:defRPr>
            </a:pPr>
            <a:r>
              <a:rPr lang="en-IN" sz="2800" b="1" i="0" u="none" strike="noStrike" kern="1200" baseline="0">
                <a:solidFill>
                  <a:schemeClr val="accent1">
                    <a:lumMod val="50000"/>
                  </a:schemeClr>
                </a:solidFill>
                <a:latin typeface="+mn-lt"/>
                <a:ea typeface="+mn-ea"/>
                <a:cs typeface="+mn-cs"/>
              </a:rPr>
              <a:t>Customer Distribution by Risk Category</a:t>
            </a:r>
          </a:p>
          <a:p>
            <a:pPr marL="0" marR="0" lvl="0" indent="0" algn="ctr" defTabSz="914400" rtl="0" eaLnBrk="1" fontAlgn="auto" latinLnBrk="0" hangingPunct="1">
              <a:lnSpc>
                <a:spcPct val="100000"/>
              </a:lnSpc>
              <a:spcBef>
                <a:spcPts val="0"/>
              </a:spcBef>
              <a:spcAft>
                <a:spcPts val="0"/>
              </a:spcAft>
              <a:buClrTx/>
              <a:buSzTx/>
              <a:buFontTx/>
              <a:buNone/>
              <a:tabLst/>
              <a:defRPr lang="en-IN" sz="2800" b="1">
                <a:solidFill>
                  <a:schemeClr val="accent1">
                    <a:lumMod val="50000"/>
                  </a:schemeClr>
                </a:solidFill>
              </a:defRPr>
            </a:pPr>
            <a:endParaRPr lang="en-IN" sz="2800" b="1" i="0" u="none" strike="noStrike" kern="1200" baseline="0">
              <a:solidFill>
                <a:schemeClr val="accent1">
                  <a:lumMod val="50000"/>
                </a:schemeClr>
              </a:solidFill>
              <a:latin typeface="+mn-lt"/>
              <a:ea typeface="+mn-ea"/>
              <a:cs typeface="+mn-cs"/>
            </a:endParaRPr>
          </a:p>
        </c:rich>
      </c:tx>
      <c:layout>
        <c:manualLayout>
          <c:xMode val="edge"/>
          <c:yMode val="edge"/>
          <c:x val="0.28421265899112919"/>
          <c:y val="0"/>
        </c:manualLayout>
      </c:layout>
      <c:overlay val="0"/>
      <c:spPr>
        <a:noFill/>
        <a:ln w="0">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pivotFmt>
      <c:pivotFmt>
        <c:idx val="11"/>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pivotFmt>
      <c:pivotFmt>
        <c:idx val="12"/>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pivotFmt>
    </c:pivotFmts>
    <c:plotArea>
      <c:layout>
        <c:manualLayout>
          <c:layoutTarget val="inner"/>
          <c:xMode val="edge"/>
          <c:yMode val="edge"/>
          <c:x val="0.37966872394365558"/>
          <c:y val="0.19101175092670666"/>
          <c:w val="0.23695220827941085"/>
          <c:h val="0.64931690595956293"/>
        </c:manualLayout>
      </c:layout>
      <c:pieChart>
        <c:varyColors val="1"/>
        <c:ser>
          <c:idx val="0"/>
          <c:order val="0"/>
          <c:tx>
            <c:strRef>
              <c:f>Pivot!$B$8</c:f>
              <c:strCache>
                <c:ptCount val="1"/>
                <c:pt idx="0">
                  <c:v>Total</c:v>
                </c:pt>
              </c:strCache>
            </c:strRef>
          </c:tx>
          <c:spPr>
            <a:effectLst>
              <a:outerShdw blurRad="50800" dist="50800" dir="5400000" algn="ctr" rotWithShape="0">
                <a:schemeClr val="accent1">
                  <a:lumMod val="20000"/>
                  <a:lumOff val="80000"/>
                </a:schemeClr>
              </a:outerShdw>
            </a:effectLst>
          </c:spPr>
          <c:dPt>
            <c:idx val="0"/>
            <c:bubble3D val="0"/>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extLst>
              <c:ext xmlns:c16="http://schemas.microsoft.com/office/drawing/2014/chart" uri="{C3380CC4-5D6E-409C-BE32-E72D297353CC}">
                <c16:uniqueId val="{00000001-26C7-4EDF-B559-789E74D8FCB4}"/>
              </c:ext>
            </c:extLst>
          </c:dPt>
          <c:dPt>
            <c:idx val="1"/>
            <c:bubble3D val="0"/>
            <c:spPr>
              <a:solidFill>
                <a:schemeClr val="accent2"/>
              </a:solidFill>
              <a:ln w="19050">
                <a:solidFill>
                  <a:schemeClr val="lt1"/>
                </a:solidFill>
              </a:ln>
              <a:effectLst>
                <a:outerShdw blurRad="50800" dist="50800" dir="5400000" algn="ctr" rotWithShape="0">
                  <a:schemeClr val="accent1">
                    <a:lumMod val="20000"/>
                    <a:lumOff val="80000"/>
                  </a:schemeClr>
                </a:outerShdw>
              </a:effectLst>
            </c:spPr>
            <c:extLst>
              <c:ext xmlns:c16="http://schemas.microsoft.com/office/drawing/2014/chart" uri="{C3380CC4-5D6E-409C-BE32-E72D297353CC}">
                <c16:uniqueId val="{00000003-26C7-4EDF-B559-789E74D8FCB4}"/>
              </c:ext>
            </c:extLst>
          </c:dPt>
          <c:dPt>
            <c:idx val="2"/>
            <c:bubble3D val="0"/>
            <c:spPr>
              <a:solidFill>
                <a:schemeClr val="accent3"/>
              </a:solidFill>
              <a:ln w="19050">
                <a:solidFill>
                  <a:schemeClr val="lt1"/>
                </a:solidFill>
              </a:ln>
              <a:effectLst>
                <a:outerShdw blurRad="50800" dist="50800" dir="5400000" algn="ctr" rotWithShape="0">
                  <a:schemeClr val="accent1">
                    <a:lumMod val="20000"/>
                    <a:lumOff val="80000"/>
                  </a:schemeClr>
                </a:outerShdw>
              </a:effectLst>
            </c:spPr>
            <c:extLst>
              <c:ext xmlns:c16="http://schemas.microsoft.com/office/drawing/2014/chart" uri="{C3380CC4-5D6E-409C-BE32-E72D297353CC}">
                <c16:uniqueId val="{00000005-26C7-4EDF-B559-789E74D8FCB4}"/>
              </c:ext>
            </c:extLst>
          </c:dPt>
          <c:dLbls>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Pivot!$A$9:$A$12</c:f>
              <c:strCache>
                <c:ptCount val="3"/>
                <c:pt idx="0">
                  <c:v>High Risk</c:v>
                </c:pt>
                <c:pt idx="1">
                  <c:v>Low Risk</c:v>
                </c:pt>
                <c:pt idx="2">
                  <c:v>Medium Risk</c:v>
                </c:pt>
              </c:strCache>
            </c:strRef>
          </c:cat>
          <c:val>
            <c:numRef>
              <c:f>Pivot!$B$9:$B$12</c:f>
              <c:numCache>
                <c:formatCode>General</c:formatCode>
                <c:ptCount val="3"/>
                <c:pt idx="0">
                  <c:v>174</c:v>
                </c:pt>
                <c:pt idx="1">
                  <c:v>49</c:v>
                </c:pt>
                <c:pt idx="2">
                  <c:v>277</c:v>
                </c:pt>
              </c:numCache>
            </c:numRef>
          </c:val>
          <c:extLst>
            <c:ext xmlns:c16="http://schemas.microsoft.com/office/drawing/2014/chart" uri="{C3380CC4-5D6E-409C-BE32-E72D297353CC}">
              <c16:uniqueId val="{00000006-26C7-4EDF-B559-789E74D8FCB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[Dashboard_AML-KYC-Customer-Risk-Analysis.xlsx]Pivot!PivotTable2</c:name>
    <c:fmtId val="4"/>
  </c:pivotSource>
  <c:chart>
    <c:title>
      <c:tx>
        <c:rich>
          <a:bodyPr rot="0" vert="horz"/>
          <a:lstStyle/>
          <a:p>
            <a:pPr algn="ctr" rtl="0">
              <a:defRPr sz="2800">
                <a:solidFill>
                  <a:schemeClr val="accent1">
                    <a:lumMod val="50000"/>
                  </a:schemeClr>
                </a:solidFill>
              </a:defRPr>
            </a:pPr>
            <a:r>
              <a:rPr lang="en-IN" sz="2800" b="1" i="0" u="none" strike="noStrike" baseline="0">
                <a:effectLst/>
              </a:rPr>
              <a:t>Customer Distribution by Country </a:t>
            </a:r>
            <a:endParaRPr lang="en-IN" sz="2800" b="1">
              <a:solidFill>
                <a:schemeClr val="accent1">
                  <a:lumMod val="50000"/>
                </a:schemeClr>
              </a:solidFill>
            </a:endParaRPr>
          </a:p>
        </c:rich>
      </c:tx>
      <c:layout>
        <c:manualLayout>
          <c:xMode val="edge"/>
          <c:yMode val="edge"/>
          <c:x val="0.26482894103238386"/>
          <c:y val="3.649030574894710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solidFill>
          <a:effectLst>
            <a:outerShdw blurRad="50800" dist="101600" dir="5400000" algn="ctr" rotWithShape="0">
              <a:schemeClr val="bg2"/>
            </a:outerShdw>
          </a:effectLst>
        </c:spPr>
        <c:marker>
          <c:symbol val="none"/>
        </c:marker>
        <c:dLbl>
          <c:idx val="0"/>
          <c:spPr>
            <a:noFill/>
            <a:ln>
              <a:noFill/>
            </a:ln>
            <a:effectLst/>
            <a:scene3d>
              <a:camera prst="orthographicFront"/>
              <a:lightRig rig="threePt" dir="t"/>
            </a:scene3d>
            <a:sp3d>
              <a:bevelT prst="relaxedInset"/>
            </a:sp3d>
          </c:spPr>
          <c:txPr>
            <a:bodyPr wrap="square" lIns="38100" tIns="19050" rIns="38100" bIns="19050" anchor="ctr">
              <a:spAutoFit/>
            </a:bodyPr>
            <a:lstStyle/>
            <a:p>
              <a:pPr>
                <a:defRPr sz="2200" b="1">
                  <a:solidFill>
                    <a:schemeClr val="accent1">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s>
    <c:plotArea>
      <c:layout>
        <c:manualLayout>
          <c:layoutTarget val="inner"/>
          <c:xMode val="edge"/>
          <c:yMode val="edge"/>
          <c:x val="0"/>
          <c:y val="0.18316190476190478"/>
          <c:w val="0.95074855104812805"/>
          <c:h val="0.64836071428571429"/>
        </c:manualLayout>
      </c:layout>
      <c:barChart>
        <c:barDir val="col"/>
        <c:grouping val="clustered"/>
        <c:varyColors val="0"/>
        <c:ser>
          <c:idx val="1"/>
          <c:order val="0"/>
          <c:tx>
            <c:strRef>
              <c:f>Pivot!$F$8</c:f>
              <c:strCache>
                <c:ptCount val="1"/>
                <c:pt idx="0">
                  <c:v>Total</c:v>
                </c:pt>
              </c:strCache>
            </c:strRef>
          </c:tx>
          <c:spPr>
            <a:solidFill>
              <a:schemeClr val="accent3"/>
            </a:solidFill>
            <a:effectLst>
              <a:outerShdw blurRad="50800" dist="101600" dir="5400000" algn="ctr" rotWithShape="0">
                <a:schemeClr val="bg2"/>
              </a:outerShdw>
            </a:effectLst>
          </c:spPr>
          <c:invertIfNegative val="0"/>
          <c:dLbls>
            <c:spPr>
              <a:noFill/>
              <a:ln>
                <a:noFill/>
              </a:ln>
              <a:effectLst/>
              <a:scene3d>
                <a:camera prst="orthographicFront"/>
                <a:lightRig rig="threePt" dir="t"/>
              </a:scene3d>
              <a:sp3d>
                <a:bevelT prst="relaxedInset"/>
              </a:sp3d>
            </c:spPr>
            <c:txPr>
              <a:bodyPr wrap="square" lIns="38100" tIns="19050" rIns="38100" bIns="19050" anchor="ctr">
                <a:spAutoFit/>
              </a:bodyPr>
              <a:lstStyle/>
              <a:p>
                <a:pPr>
                  <a:defRPr sz="2200" b="1">
                    <a:solidFill>
                      <a:schemeClr val="accent1">
                        <a:lumMod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Pivot!$E$9:$E$17</c:f>
              <c:strCache>
                <c:ptCount val="8"/>
                <c:pt idx="0">
                  <c:v>USA</c:v>
                </c:pt>
                <c:pt idx="1">
                  <c:v>India</c:v>
                </c:pt>
                <c:pt idx="2">
                  <c:v>Iran</c:v>
                </c:pt>
                <c:pt idx="3">
                  <c:v>Russia</c:v>
                </c:pt>
                <c:pt idx="4">
                  <c:v>Syria</c:v>
                </c:pt>
                <c:pt idx="5">
                  <c:v>Singapore</c:v>
                </c:pt>
                <c:pt idx="6">
                  <c:v>UK</c:v>
                </c:pt>
                <c:pt idx="7">
                  <c:v>UAE</c:v>
                </c:pt>
              </c:strCache>
            </c:strRef>
          </c:cat>
          <c:val>
            <c:numRef>
              <c:f>Pivot!$F$9:$F$17</c:f>
              <c:numCache>
                <c:formatCode>General</c:formatCode>
                <c:ptCount val="8"/>
                <c:pt idx="0">
                  <c:v>54</c:v>
                </c:pt>
                <c:pt idx="1">
                  <c:v>57</c:v>
                </c:pt>
                <c:pt idx="2">
                  <c:v>60</c:v>
                </c:pt>
                <c:pt idx="3">
                  <c:v>61</c:v>
                </c:pt>
                <c:pt idx="4">
                  <c:v>64</c:v>
                </c:pt>
                <c:pt idx="5">
                  <c:v>66</c:v>
                </c:pt>
                <c:pt idx="6">
                  <c:v>66</c:v>
                </c:pt>
                <c:pt idx="7">
                  <c:v>72</c:v>
                </c:pt>
              </c:numCache>
            </c:numRef>
          </c:val>
          <c:extLst>
            <c:ext xmlns:c16="http://schemas.microsoft.com/office/drawing/2014/chart" uri="{C3380CC4-5D6E-409C-BE32-E72D297353CC}">
              <c16:uniqueId val="{00000003-6189-440F-B1BD-95E2E3E7EF75}"/>
            </c:ext>
          </c:extLst>
        </c:ser>
        <c:dLbls>
          <c:dLblPos val="outEnd"/>
          <c:showLegendKey val="0"/>
          <c:showVal val="1"/>
          <c:showCatName val="0"/>
          <c:showSerName val="0"/>
          <c:showPercent val="0"/>
          <c:showBubbleSize val="0"/>
        </c:dLbls>
        <c:gapWidth val="219"/>
        <c:overlap val="-27"/>
        <c:axId val="994390063"/>
        <c:axId val="994380943"/>
      </c:barChart>
      <c:catAx>
        <c:axId val="994390063"/>
        <c:scaling>
          <c:orientation val="minMax"/>
        </c:scaling>
        <c:delete val="0"/>
        <c:axPos val="b"/>
        <c:numFmt formatCode="General" sourceLinked="1"/>
        <c:majorTickMark val="out"/>
        <c:minorTickMark val="none"/>
        <c:tickLblPos val="nextTo"/>
        <c:spPr>
          <a:ln w="9525"/>
        </c:spPr>
        <c:txPr>
          <a:bodyPr rot="0"/>
          <a:lstStyle/>
          <a:p>
            <a:pPr>
              <a:defRPr sz="2400" b="1">
                <a:ln>
                  <a:noFill/>
                </a:ln>
                <a:solidFill>
                  <a:schemeClr val="accent1">
                    <a:lumMod val="50000"/>
                  </a:schemeClr>
                </a:solidFill>
              </a:defRPr>
            </a:pPr>
            <a:endParaRPr lang="en-US"/>
          </a:p>
        </c:txPr>
        <c:crossAx val="994380943"/>
        <c:crosses val="autoZero"/>
        <c:auto val="1"/>
        <c:lblAlgn val="ctr"/>
        <c:lblOffset val="100"/>
        <c:noMultiLvlLbl val="0"/>
      </c:catAx>
      <c:valAx>
        <c:axId val="994380943"/>
        <c:scaling>
          <c:orientation val="minMax"/>
        </c:scaling>
        <c:delete val="1"/>
        <c:axPos val="l"/>
        <c:numFmt formatCode="General" sourceLinked="1"/>
        <c:majorTickMark val="out"/>
        <c:minorTickMark val="none"/>
        <c:tickLblPos val="nextTo"/>
        <c:crossAx val="994390063"/>
        <c:crosses val="autoZero"/>
        <c:crossBetween val="between"/>
      </c:valAx>
      <c:spPr>
        <a:noFill/>
        <a:effectLst>
          <a:outerShdw blurRad="50800" dist="50800" dir="5400000" algn="ctr" rotWithShape="0">
            <a:schemeClr val="accent1">
              <a:lumMod val="20000"/>
              <a:lumOff val="80000"/>
            </a:schemeClr>
          </a:outerShdw>
        </a:effectLst>
      </c:spPr>
    </c:plotArea>
    <c:plotVisOnly val="1"/>
    <c:dispBlanksAs val="gap"/>
    <c:showDLblsOverMax val="0"/>
    <c:extLst/>
  </c:chart>
  <c:spPr>
    <a:noFill/>
    <a:ln>
      <a:noFill/>
    </a:ln>
    <a:effectLst>
      <a:outerShdw blurRad="63500" sx="102000" sy="102000" algn="ctr" rotWithShape="0">
        <a:schemeClr val="bg1">
          <a:lumMod val="75000"/>
          <a:alpha val="40000"/>
        </a:scheme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[Dashboard_AML-KYC-Customer-Risk-Analysis.xlsx]Pivot!PivotTable3</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r>
              <a:rPr lang="en-IN" sz="2800" b="1" i="0" u="none" strike="noStrike" baseline="0"/>
              <a:t>Average Risk Score by Occupation</a:t>
            </a:r>
          </a:p>
          <a:p>
            <a:pPr marL="0" marR="0" lvl="0" indent="0" algn="ctr" defTabSz="914400" rtl="0" eaLnBrk="1" fontAlgn="auto" latinLnBrk="0" hangingPunct="1">
              <a:lnSpc>
                <a:spcPct val="100000"/>
              </a:lnSpc>
              <a:spcBef>
                <a:spcPts val="0"/>
              </a:spcBef>
              <a:spcAft>
                <a:spcPts val="0"/>
              </a:spcAft>
              <a:buClrTx/>
              <a:buSzTx/>
              <a:buFontTx/>
              <a:buNone/>
              <a:tabLst/>
              <a:defRPr lang="en-US" sz="2400" b="1">
                <a:solidFill>
                  <a:schemeClr val="accent1">
                    <a:lumMod val="50000"/>
                  </a:schemeClr>
                </a:solidFill>
              </a:defRPr>
            </a:pPr>
            <a:endParaRPr lang="en-US" sz="2800" b="1" i="0" u="none" strike="noStrike" kern="1200" spc="0" baseline="0">
              <a:solidFill>
                <a:schemeClr val="accent1">
                  <a:lumMod val="50000"/>
                </a:schemeClr>
              </a:solidFill>
              <a:latin typeface="+mn-lt"/>
              <a:ea typeface="+mn-ea"/>
              <a:cs typeface="+mn-cs"/>
            </a:endParaRPr>
          </a:p>
        </c:rich>
      </c:tx>
      <c:layout>
        <c:manualLayout>
          <c:xMode val="edge"/>
          <c:yMode val="edge"/>
          <c:x val="0.25852281402638372"/>
          <c:y val="3.12774049276689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cap="rnd">
            <a:solidFill>
              <a:schemeClr val="accent1"/>
            </a:solidFill>
          </a:ln>
          <a:effectLst/>
          <a:scene3d>
            <a:camera prst="orthographicFront"/>
            <a:lightRig rig="threePt" dir="t"/>
          </a:scene3d>
          <a:sp3d>
            <a:bevelT w="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76200" cap="rnd" cmpd="tri">
            <a:solidFill>
              <a:schemeClr val="accent1"/>
            </a:solidFill>
          </a:ln>
          <a:effectLst/>
          <a:scene3d>
            <a:camera prst="orthographicFront"/>
            <a:lightRig rig="threePt" dir="t"/>
          </a:scene3d>
          <a:sp3d>
            <a:bevelT w="0"/>
          </a:sp3d>
        </c:spPr>
        <c:dLbl>
          <c:idx val="0"/>
          <c:layout>
            <c:manualLayout>
              <c:x val="1.6721765836027944E-2"/>
              <c:y val="-2.2007508353418657E-2"/>
            </c:manualLayout>
          </c:layout>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76200" cap="rnd" cmpd="thickThin">
            <a:solidFill>
              <a:schemeClr val="accent1"/>
            </a:solidFill>
          </a:ln>
          <a:effectLst/>
          <a:scene3d>
            <a:camera prst="orthographicFront"/>
            <a:lightRig rig="threePt" dir="t"/>
          </a:scene3d>
          <a:sp3d>
            <a:bevelT w="0"/>
          </a:sp3d>
        </c:spPr>
        <c:dLbl>
          <c:idx val="0"/>
          <c:layout>
            <c:manualLayout>
              <c:x val="-4.0875427599179552E-2"/>
              <c:y val="1.222639352967657E-3"/>
            </c:manualLayout>
          </c:layout>
          <c:tx>
            <c:rich>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fld id="{3DA625DF-78CD-4E5C-9130-E7654E12F120}" type="CATEGORYNAME">
                  <a:rPr lang="en-US" sz="2400"/>
                  <a:pPr>
                    <a:defRPr sz="2400" b="1">
                      <a:solidFill>
                        <a:schemeClr val="accent1">
                          <a:lumMod val="50000"/>
                        </a:schemeClr>
                      </a:solidFill>
                    </a:defRPr>
                  </a:pPr>
                  <a:t>[CATEGORY NAME]</a:t>
                </a:fld>
                <a:r>
                  <a:rPr lang="en-US" sz="2000" baseline="0"/>
                  <a:t>, </a:t>
                </a:r>
                <a:fld id="{322ED74D-CB11-458B-9314-6E6FF12208D4}" type="VALUE">
                  <a:rPr lang="en-US" sz="2400" baseline="0"/>
                  <a:pPr>
                    <a:defRPr sz="2400" b="1">
                      <a:solidFill>
                        <a:schemeClr val="accent1">
                          <a:lumMod val="50000"/>
                        </a:schemeClr>
                      </a:solidFill>
                    </a:defRPr>
                  </a:pPr>
                  <a:t>[VALUE]</a:t>
                </a:fld>
                <a:endParaRPr lang="en-US" sz="2000" baseline="0"/>
              </a:p>
            </c:rich>
          </c:tx>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63935371764868"/>
                  <c:h val="0.15359315414382321"/>
                </c:manualLayout>
              </c15:layout>
              <c15:dlblFieldTable/>
              <c15:showDataLabelsRange val="0"/>
            </c:ext>
          </c:extLst>
        </c:dLbl>
      </c:pivotFmt>
      <c:pivotFmt>
        <c:idx val="5"/>
        <c:spPr>
          <a:solidFill>
            <a:schemeClr val="accent1"/>
          </a:solidFill>
          <a:ln w="76200" cap="rnd">
            <a:solidFill>
              <a:schemeClr val="accent1"/>
            </a:solidFill>
          </a:ln>
          <a:effectLst/>
          <a:scene3d>
            <a:camera prst="orthographicFront"/>
            <a:lightRig rig="threePt" dir="t"/>
          </a:scene3d>
          <a:sp3d>
            <a:bevelT w="0"/>
          </a:sp3d>
        </c:spPr>
      </c:pivotFmt>
      <c:pivotFmt>
        <c:idx val="6"/>
        <c:spPr>
          <a:solidFill>
            <a:schemeClr val="accent1"/>
          </a:solidFill>
          <a:ln w="76200" cap="rnd">
            <a:solidFill>
              <a:schemeClr val="accent1"/>
            </a:solidFill>
          </a:ln>
          <a:effectLst/>
          <a:scene3d>
            <a:camera prst="orthographicFront"/>
            <a:lightRig rig="threePt" dir="t"/>
          </a:scene3d>
          <a:sp3d>
            <a:bevelT w="0"/>
          </a:sp3d>
        </c:spPr>
      </c:pivotFmt>
      <c:pivotFmt>
        <c:idx val="7"/>
        <c:spPr>
          <a:solidFill>
            <a:schemeClr val="accent1"/>
          </a:solidFill>
          <a:ln w="76200" cap="rnd">
            <a:solidFill>
              <a:schemeClr val="accent1"/>
            </a:solidFill>
          </a:ln>
          <a:effectLst/>
          <a:scene3d>
            <a:camera prst="orthographicFront"/>
            <a:lightRig rig="threePt" dir="t"/>
          </a:scene3d>
          <a:sp3d>
            <a:bevelT w="0"/>
          </a:sp3d>
        </c:spPr>
      </c:pivotFmt>
      <c:pivotFmt>
        <c:idx val="8"/>
        <c:spPr>
          <a:solidFill>
            <a:schemeClr val="accent1"/>
          </a:solidFill>
          <a:ln w="76200" cap="rnd">
            <a:solidFill>
              <a:schemeClr val="accent1"/>
            </a:solidFill>
          </a:ln>
          <a:effectLst/>
          <a:scene3d>
            <a:camera prst="orthographicFront"/>
            <a:lightRig rig="threePt" dir="t"/>
          </a:scene3d>
          <a:sp3d>
            <a:bevelT w="0"/>
          </a:sp3d>
        </c:spPr>
        <c:dLbl>
          <c:idx val="0"/>
          <c:layout>
            <c:manualLayout>
              <c:x val="5.109465024188407E-3"/>
              <c:y val="-2.4453749767505981E-3"/>
            </c:manualLayout>
          </c:layout>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34853287717874"/>
                  <c:h val="0.14990251617253422"/>
                </c:manualLayout>
              </c15:layout>
            </c:ext>
          </c:extLst>
        </c:dLbl>
      </c:pivotFmt>
    </c:pivotFmts>
    <c:plotArea>
      <c:layout>
        <c:manualLayout>
          <c:layoutTarget val="inner"/>
          <c:xMode val="edge"/>
          <c:yMode val="edge"/>
          <c:x val="2.4914545027010116E-2"/>
          <c:y val="0.19321567460317457"/>
          <c:w val="0.78916984040076643"/>
          <c:h val="0.73073849206349206"/>
        </c:manualLayout>
      </c:layout>
      <c:barChart>
        <c:barDir val="bar"/>
        <c:grouping val="clustered"/>
        <c:varyColors val="0"/>
        <c:ser>
          <c:idx val="0"/>
          <c:order val="0"/>
          <c:tx>
            <c:strRef>
              <c:f>Pivot!$B$18</c:f>
              <c:strCache>
                <c:ptCount val="1"/>
                <c:pt idx="0">
                  <c:v>Total</c:v>
                </c:pt>
              </c:strCache>
            </c:strRef>
          </c:tx>
          <c:spPr>
            <a:solidFill>
              <a:schemeClr val="accent1"/>
            </a:solidFill>
            <a:ln w="76200" cap="rnd">
              <a:solidFill>
                <a:schemeClr val="accent1"/>
              </a:solidFill>
            </a:ln>
            <a:effectLst/>
            <a:scene3d>
              <a:camera prst="orthographicFront"/>
              <a:lightRig rig="threePt" dir="t"/>
            </a:scene3d>
            <a:sp3d>
              <a:bevelT w="0"/>
            </a:sp3d>
          </c:spPr>
          <c:invertIfNegative val="0"/>
          <c:dPt>
            <c:idx val="3"/>
            <c:invertIfNegative val="0"/>
            <c:bubble3D val="0"/>
            <c:spPr>
              <a:solidFill>
                <a:schemeClr val="accent1"/>
              </a:solidFill>
              <a:ln w="76200" cap="rnd">
                <a:solidFill>
                  <a:schemeClr val="accent1"/>
                </a:solidFill>
              </a:ln>
              <a:effectLst/>
              <a:scene3d>
                <a:camera prst="orthographicFront"/>
                <a:lightRig rig="threePt" dir="t"/>
              </a:scene3d>
              <a:sp3d>
                <a:bevelT w="0"/>
              </a:sp3d>
            </c:spPr>
            <c:extLst>
              <c:ext xmlns:c16="http://schemas.microsoft.com/office/drawing/2014/chart" uri="{C3380CC4-5D6E-409C-BE32-E72D297353CC}">
                <c16:uniqueId val="{00000001-976B-4FA6-A6DB-BC8448C9DC87}"/>
              </c:ext>
            </c:extLst>
          </c:dPt>
          <c:dPt>
            <c:idx val="4"/>
            <c:invertIfNegative val="0"/>
            <c:bubble3D val="0"/>
            <c:spPr>
              <a:solidFill>
                <a:schemeClr val="accent1"/>
              </a:solidFill>
              <a:ln w="76200" cap="rnd" cmpd="thickThin">
                <a:solidFill>
                  <a:schemeClr val="accent1"/>
                </a:solidFill>
              </a:ln>
              <a:effectLst/>
              <a:scene3d>
                <a:camera prst="orthographicFront"/>
                <a:lightRig rig="threePt" dir="t"/>
              </a:scene3d>
              <a:sp3d>
                <a:bevelT w="0"/>
              </a:sp3d>
            </c:spPr>
            <c:extLst>
              <c:ext xmlns:c16="http://schemas.microsoft.com/office/drawing/2014/chart" uri="{C3380CC4-5D6E-409C-BE32-E72D297353CC}">
                <c16:uniqueId val="{00000001-406A-476F-B4DF-785C3DBEC7CD}"/>
              </c:ext>
            </c:extLst>
          </c:dPt>
          <c:dPt>
            <c:idx val="5"/>
            <c:invertIfNegative val="0"/>
            <c:bubble3D val="0"/>
            <c:spPr>
              <a:solidFill>
                <a:schemeClr val="accent1"/>
              </a:solidFill>
              <a:ln w="76200" cap="rnd" cmpd="tri">
                <a:solidFill>
                  <a:schemeClr val="accent1"/>
                </a:solidFill>
              </a:ln>
              <a:effectLst/>
              <a:scene3d>
                <a:camera prst="orthographicFront"/>
                <a:lightRig rig="threePt" dir="t"/>
              </a:scene3d>
              <a:sp3d>
                <a:bevelT w="0"/>
              </a:sp3d>
            </c:spPr>
            <c:extLst>
              <c:ext xmlns:c16="http://schemas.microsoft.com/office/drawing/2014/chart" uri="{C3380CC4-5D6E-409C-BE32-E72D297353CC}">
                <c16:uniqueId val="{00000000-C847-43B0-B6B7-7748740081AB}"/>
              </c:ext>
            </c:extLst>
          </c:dPt>
          <c:dLbls>
            <c:dLbl>
              <c:idx val="3"/>
              <c:layout>
                <c:manualLayout>
                  <c:x val="5.109465024188407E-3"/>
                  <c:y val="-2.4453749767505981E-3"/>
                </c:manualLayout>
              </c:layout>
              <c:showLegendKey val="0"/>
              <c:showVal val="1"/>
              <c:showCatName val="1"/>
              <c:showSerName val="0"/>
              <c:showPercent val="0"/>
              <c:showBubbleSize val="0"/>
              <c:extLst>
                <c:ext xmlns:c15="http://schemas.microsoft.com/office/drawing/2012/chart" uri="{CE6537A1-D6FC-4f65-9D91-7224C49458BB}">
                  <c15:layout>
                    <c:manualLayout>
                      <c:w val="0.25534853287717874"/>
                      <c:h val="0.14990251617253422"/>
                    </c:manualLayout>
                  </c15:layout>
                </c:ext>
                <c:ext xmlns:c16="http://schemas.microsoft.com/office/drawing/2014/chart" uri="{C3380CC4-5D6E-409C-BE32-E72D297353CC}">
                  <c16:uniqueId val="{00000001-976B-4FA6-A6DB-BC8448C9DC87}"/>
                </c:ext>
              </c:extLst>
            </c:dLbl>
            <c:dLbl>
              <c:idx val="4"/>
              <c:layout>
                <c:manualLayout>
                  <c:x val="-4.0875427599179552E-2"/>
                  <c:y val="1.222639352967657E-3"/>
                </c:manualLayout>
              </c:layout>
              <c:tx>
                <c:rich>
                  <a:bodyPr/>
                  <a:lstStyle/>
                  <a:p>
                    <a:fld id="{3DA625DF-78CD-4E5C-9130-E7654E12F120}" type="CATEGORYNAME">
                      <a:rPr lang="en-US" sz="2400"/>
                      <a:pPr/>
                      <a:t>[CATEGORY NAME]</a:t>
                    </a:fld>
                    <a:r>
                      <a:rPr lang="en-US" sz="2000" baseline="0"/>
                      <a:t>, </a:t>
                    </a:r>
                    <a:fld id="{322ED74D-CB11-458B-9314-6E6FF12208D4}" type="VALUE">
                      <a:rPr lang="en-US" sz="2400" baseline="0"/>
                      <a:pPr/>
                      <a:t>[VALUE]</a:t>
                    </a:fld>
                    <a:endParaRPr lang="en-US" sz="2000" baseline="0"/>
                  </a:p>
                </c:rich>
              </c:tx>
              <c:showLegendKey val="0"/>
              <c:showVal val="1"/>
              <c:showCatName val="1"/>
              <c:showSerName val="0"/>
              <c:showPercent val="0"/>
              <c:showBubbleSize val="0"/>
              <c:extLst>
                <c:ext xmlns:c15="http://schemas.microsoft.com/office/drawing/2012/chart" uri="{CE6537A1-D6FC-4f65-9D91-7224C49458BB}">
                  <c15:layout>
                    <c:manualLayout>
                      <c:w val="0.26463935371764868"/>
                      <c:h val="0.15359315414382321"/>
                    </c:manualLayout>
                  </c15:layout>
                  <c15:dlblFieldTable/>
                  <c15:showDataLabelsRange val="0"/>
                </c:ext>
                <c:ext xmlns:c16="http://schemas.microsoft.com/office/drawing/2014/chart" uri="{C3380CC4-5D6E-409C-BE32-E72D297353CC}">
                  <c16:uniqueId val="{00000001-406A-476F-B4DF-785C3DBEC7CD}"/>
                </c:ext>
              </c:extLst>
            </c:dLbl>
            <c:dLbl>
              <c:idx val="5"/>
              <c:layout>
                <c:manualLayout>
                  <c:x val="1.6721765836027944E-2"/>
                  <c:y val="-2.20075083534186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47-43B0-B6B7-7748740081AB}"/>
                </c:ext>
              </c:extLst>
            </c:dLbl>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Pivot!$A$19:$A$25</c:f>
              <c:strCache>
                <c:ptCount val="6"/>
                <c:pt idx="0">
                  <c:v>Salaried</c:v>
                </c:pt>
                <c:pt idx="1">
                  <c:v>Student</c:v>
                </c:pt>
                <c:pt idx="2">
                  <c:v>Consultant</c:v>
                </c:pt>
                <c:pt idx="3">
                  <c:v>Business Owner</c:v>
                </c:pt>
                <c:pt idx="4">
                  <c:v>Cash Intensive Business</c:v>
                </c:pt>
                <c:pt idx="5">
                  <c:v>Politician</c:v>
                </c:pt>
              </c:strCache>
            </c:strRef>
          </c:cat>
          <c:val>
            <c:numRef>
              <c:f>Pivot!$B$19:$B$25</c:f>
              <c:numCache>
                <c:formatCode>0.0</c:formatCode>
                <c:ptCount val="6"/>
                <c:pt idx="0">
                  <c:v>57.926829268292686</c:v>
                </c:pt>
                <c:pt idx="1">
                  <c:v>58.203883495145632</c:v>
                </c:pt>
                <c:pt idx="2">
                  <c:v>65.543478260869563</c:v>
                </c:pt>
                <c:pt idx="3">
                  <c:v>75</c:v>
                </c:pt>
                <c:pt idx="4">
                  <c:v>89.318181818181813</c:v>
                </c:pt>
                <c:pt idx="5">
                  <c:v>93.043478260869563</c:v>
                </c:pt>
              </c:numCache>
            </c:numRef>
          </c:val>
          <c:extLst>
            <c:ext xmlns:c16="http://schemas.microsoft.com/office/drawing/2014/chart" uri="{C3380CC4-5D6E-409C-BE32-E72D297353CC}">
              <c16:uniqueId val="{00000000-2A34-457C-B895-E10239E78121}"/>
            </c:ext>
          </c:extLst>
        </c:ser>
        <c:dLbls>
          <c:showLegendKey val="0"/>
          <c:showVal val="0"/>
          <c:showCatName val="0"/>
          <c:showSerName val="0"/>
          <c:showPercent val="0"/>
          <c:showBubbleSize val="0"/>
        </c:dLbls>
        <c:gapWidth val="150"/>
        <c:axId val="988664703"/>
        <c:axId val="988650783"/>
      </c:barChart>
      <c:catAx>
        <c:axId val="988664703"/>
        <c:scaling>
          <c:orientation val="minMax"/>
        </c:scaling>
        <c:delete val="1"/>
        <c:axPos val="l"/>
        <c:numFmt formatCode="General" sourceLinked="1"/>
        <c:majorTickMark val="out"/>
        <c:minorTickMark val="none"/>
        <c:tickLblPos val="nextTo"/>
        <c:crossAx val="988650783"/>
        <c:crosses val="autoZero"/>
        <c:auto val="1"/>
        <c:lblAlgn val="ctr"/>
        <c:lblOffset val="100"/>
        <c:noMultiLvlLbl val="0"/>
      </c:catAx>
      <c:valAx>
        <c:axId val="988650783"/>
        <c:scaling>
          <c:orientation val="minMax"/>
        </c:scaling>
        <c:delete val="1"/>
        <c:axPos val="b"/>
        <c:numFmt formatCode="0.0" sourceLinked="1"/>
        <c:majorTickMark val="out"/>
        <c:minorTickMark val="none"/>
        <c:tickLblPos val="nextTo"/>
        <c:crossAx val="988664703"/>
        <c:crosses val="autoZero"/>
        <c:crossBetween val="between"/>
      </c:valAx>
      <c:spPr>
        <a:noFill/>
        <a:ln>
          <a:noFill/>
        </a:ln>
        <a:effectLst>
          <a:outerShdw blurRad="50800" dist="50800" dir="5400000" algn="ctr" rotWithShape="0">
            <a:schemeClr val="accent1">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r>
              <a:rPr lang="en-IN" sz="2800" b="1" i="0" u="none" strike="noStrike" baseline="0"/>
              <a:t>PEP vs Non-PEP Distribution</a:t>
            </a:r>
            <a:endParaRPr lang="en-US" sz="2800" b="1" i="0" u="none" strike="noStrike" kern="1200" spc="0" baseline="0">
              <a:solidFill>
                <a:schemeClr val="accent1">
                  <a:lumMod val="50000"/>
                </a:schemeClr>
              </a:solidFill>
              <a:latin typeface="+mn-lt"/>
              <a:ea typeface="+mn-ea"/>
              <a:cs typeface="+mn-cs"/>
            </a:endParaRPr>
          </a:p>
        </c:rich>
      </c:tx>
      <c:layout>
        <c:manualLayout>
          <c:xMode val="edge"/>
          <c:yMode val="edge"/>
          <c:x val="0.32980368274398547"/>
          <c:y val="4.678210345107033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6267521920725648E-2"/>
              <c:y val="-1.0701991665929325E-2"/>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4506960248874136E-2"/>
              <c:y val="-1.3080060934155764E-16"/>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F0-4EB7-9398-7FA09991D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F0-4EB7-9398-7FA09991D96D}"/>
              </c:ext>
            </c:extLst>
          </c:dPt>
          <c:dLbls>
            <c:dLbl>
              <c:idx val="0"/>
              <c:layout>
                <c:manualLayout>
                  <c:x val="8.6267521920725648E-2"/>
                  <c:y val="-1.0701991665929325E-2"/>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0F0-4EB7-9398-7FA09991D96D}"/>
                </c:ext>
              </c:extLst>
            </c:dLbl>
            <c:dLbl>
              <c:idx val="1"/>
              <c:layout>
                <c:manualLayout>
                  <c:x val="-8.4506960248874136E-2"/>
                  <c:y val="-1.3080060934155764E-16"/>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0F0-4EB7-9398-7FA09991D96D}"/>
                </c:ext>
              </c:extLst>
            </c:dLbl>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Pivot!$D$22:$D$24</c:f>
              <c:strCache>
                <c:ptCount val="2"/>
                <c:pt idx="0">
                  <c:v>No</c:v>
                </c:pt>
                <c:pt idx="1">
                  <c:v>Yes</c:v>
                </c:pt>
              </c:strCache>
            </c:strRef>
          </c:cat>
          <c:val>
            <c:numRef>
              <c:f>Pivot!$E$22:$E$24</c:f>
              <c:numCache>
                <c:formatCode>General</c:formatCode>
                <c:ptCount val="2"/>
                <c:pt idx="0">
                  <c:v>70.05252100840336</c:v>
                </c:pt>
                <c:pt idx="1">
                  <c:v>110.83333333333333</c:v>
                </c:pt>
              </c:numCache>
            </c:numRef>
          </c:val>
          <c:extLst>
            <c:ext xmlns:c16="http://schemas.microsoft.com/office/drawing/2014/chart" uri="{C3380CC4-5D6E-409C-BE32-E72D297353CC}">
              <c16:uniqueId val="{00000004-C0F0-4EB7-9398-7FA09991D96D}"/>
            </c:ext>
          </c:extLst>
        </c:ser>
        <c:dLbls>
          <c:showLegendKey val="0"/>
          <c:showVal val="1"/>
          <c:showCatName val="0"/>
          <c:showSerName val="0"/>
          <c:showPercent val="0"/>
          <c:showBubbleSize val="0"/>
          <c:showLeaderLines val="0"/>
        </c:dLbls>
        <c:firstSliceAng val="0"/>
        <c:holeSize val="75"/>
      </c:doughnutChart>
      <c:spPr>
        <a:noFill/>
        <a:ln>
          <a:noFill/>
        </a:ln>
        <a:effectLst>
          <a:outerShdw blurRad="50800" dist="50800" dir="5400000" algn="ctr" rotWithShape="0">
            <a:schemeClr val="accent1">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240099</xdr:colOff>
      <xdr:row>8</xdr:row>
      <xdr:rowOff>426045</xdr:rowOff>
    </xdr:from>
    <xdr:to>
      <xdr:col>6</xdr:col>
      <xdr:colOff>1181022</xdr:colOff>
      <xdr:row>20</xdr:row>
      <xdr:rowOff>240902</xdr:rowOff>
    </xdr:to>
    <xdr:graphicFrame macro="">
      <xdr:nvGraphicFramePr>
        <xdr:cNvPr id="20" name="Chart 16">
          <a:extLst>
            <a:ext uri="{FF2B5EF4-FFF2-40B4-BE49-F238E27FC236}">
              <a16:creationId xmlns:a16="http://schemas.microsoft.com/office/drawing/2014/main" id="{C847AD04-3803-443C-B70D-AC6D9B0C4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1504021</xdr:colOff>
      <xdr:row>8</xdr:row>
      <xdr:rowOff>384969</xdr:rowOff>
    </xdr:from>
    <xdr:to>
      <xdr:col>14</xdr:col>
      <xdr:colOff>1585252</xdr:colOff>
      <xdr:row>20</xdr:row>
      <xdr:rowOff>199826</xdr:rowOff>
    </xdr:to>
    <xdr:graphicFrame macro="">
      <xdr:nvGraphicFramePr>
        <xdr:cNvPr id="23" name="Chart 22">
          <a:extLst>
            <a:ext uri="{FF2B5EF4-FFF2-40B4-BE49-F238E27FC236}">
              <a16:creationId xmlns:a16="http://schemas.microsoft.com/office/drawing/2014/main" id="{F86E787C-F533-24E5-0A05-D24B2F292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205422</xdr:colOff>
      <xdr:row>20</xdr:row>
      <xdr:rowOff>359312</xdr:rowOff>
    </xdr:from>
    <xdr:to>
      <xdr:col>6</xdr:col>
      <xdr:colOff>1146345</xdr:colOff>
      <xdr:row>32</xdr:row>
      <xdr:rowOff>174170</xdr:rowOff>
    </xdr:to>
    <xdr:graphicFrame macro="">
      <xdr:nvGraphicFramePr>
        <xdr:cNvPr id="24" name="Chart 23">
          <a:extLst>
            <a:ext uri="{FF2B5EF4-FFF2-40B4-BE49-F238E27FC236}">
              <a16:creationId xmlns:a16="http://schemas.microsoft.com/office/drawing/2014/main" id="{4260E52F-56ED-43CA-9A32-7F7DF321F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1503264</xdr:colOff>
      <xdr:row>20</xdr:row>
      <xdr:rowOff>341481</xdr:rowOff>
    </xdr:from>
    <xdr:to>
      <xdr:col>14</xdr:col>
      <xdr:colOff>1584495</xdr:colOff>
      <xdr:row>32</xdr:row>
      <xdr:rowOff>156339</xdr:rowOff>
    </xdr:to>
    <xdr:graphicFrame macro="">
      <xdr:nvGraphicFramePr>
        <xdr:cNvPr id="25" name="Chart 24">
          <a:extLst>
            <a:ext uri="{FF2B5EF4-FFF2-40B4-BE49-F238E27FC236}">
              <a16:creationId xmlns:a16="http://schemas.microsoft.com/office/drawing/2014/main" id="{31959612-AB96-4511-B952-21D8DCE4F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1313384</xdr:colOff>
      <xdr:row>16</xdr:row>
      <xdr:rowOff>326573</xdr:rowOff>
    </xdr:from>
    <xdr:to>
      <xdr:col>19</xdr:col>
      <xdr:colOff>1237146</xdr:colOff>
      <xdr:row>31</xdr:row>
      <xdr:rowOff>431536</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7E8DB74E-4DCB-45FB-8329-BF206064D5A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2707784" y="7554687"/>
              <a:ext cx="3320105" cy="6636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65315</xdr:colOff>
      <xdr:row>32</xdr:row>
      <xdr:rowOff>544286</xdr:rowOff>
    </xdr:from>
    <xdr:to>
      <xdr:col>19</xdr:col>
      <xdr:colOff>1219200</xdr:colOff>
      <xdr:row>33</xdr:row>
      <xdr:rowOff>869263</xdr:rowOff>
    </xdr:to>
    <mc:AlternateContent xmlns:mc="http://schemas.openxmlformats.org/markup-compatibility/2006" xmlns:a14="http://schemas.microsoft.com/office/drawing/2010/main">
      <mc:Choice Requires="a14">
        <xdr:graphicFrame macro="">
          <xdr:nvGraphicFramePr>
            <xdr:cNvPr id="4" name="PEP 1">
              <a:extLst>
                <a:ext uri="{FF2B5EF4-FFF2-40B4-BE49-F238E27FC236}">
                  <a16:creationId xmlns:a16="http://schemas.microsoft.com/office/drawing/2014/main" id="{F9A5CF7C-8962-4A3F-B275-9B0AF864D1F0}"/>
                </a:ext>
              </a:extLst>
            </xdr:cNvPr>
            <xdr:cNvGraphicFramePr/>
          </xdr:nvGraphicFramePr>
          <xdr:xfrm>
            <a:off x="0" y="0"/>
            <a:ext cx="0" cy="0"/>
          </xdr:xfrm>
          <a:graphic>
            <a:graphicData uri="http://schemas.microsoft.com/office/drawing/2010/slicer">
              <sle:slicer xmlns:sle="http://schemas.microsoft.com/office/drawing/2010/slicer" name="PEP 1"/>
            </a:graphicData>
          </a:graphic>
        </xdr:graphicFrame>
      </mc:Choice>
      <mc:Fallback xmlns="">
        <xdr:sp macro="" textlink="">
          <xdr:nvSpPr>
            <xdr:cNvPr id="0" name=""/>
            <xdr:cNvSpPr>
              <a:spLocks noTextEdit="1"/>
            </xdr:cNvSpPr>
          </xdr:nvSpPr>
          <xdr:spPr>
            <a:xfrm>
              <a:off x="29761544" y="14739257"/>
              <a:ext cx="6248399" cy="158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261161</xdr:colOff>
      <xdr:row>32</xdr:row>
      <xdr:rowOff>572863</xdr:rowOff>
    </xdr:from>
    <xdr:to>
      <xdr:col>15</xdr:col>
      <xdr:colOff>1658536</xdr:colOff>
      <xdr:row>33</xdr:row>
      <xdr:rowOff>858120</xdr:rowOff>
    </xdr:to>
    <mc:AlternateContent xmlns:mc="http://schemas.openxmlformats.org/markup-compatibility/2006" xmlns:a14="http://schemas.microsoft.com/office/drawing/2010/main">
      <mc:Choice Requires="a14">
        <xdr:graphicFrame macro="">
          <xdr:nvGraphicFramePr>
            <xdr:cNvPr id="6" name="Occupation 2">
              <a:extLst>
                <a:ext uri="{FF2B5EF4-FFF2-40B4-BE49-F238E27FC236}">
                  <a16:creationId xmlns:a16="http://schemas.microsoft.com/office/drawing/2014/main" id="{AC337128-E9C8-47C8-862D-2EFE962EB4C2}"/>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261161" y="14767834"/>
              <a:ext cx="29395432"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1258736</xdr:colOff>
      <xdr:row>9</xdr:row>
      <xdr:rowOff>110365</xdr:rowOff>
    </xdr:from>
    <xdr:to>
      <xdr:col>19</xdr:col>
      <xdr:colOff>1229493</xdr:colOff>
      <xdr:row>16</xdr:row>
      <xdr:rowOff>130629</xdr:rowOff>
    </xdr:to>
    <mc:AlternateContent xmlns:mc="http://schemas.openxmlformats.org/markup-compatibility/2006" xmlns:a14="http://schemas.microsoft.com/office/drawing/2010/main">
      <mc:Choice Requires="a14">
        <xdr:graphicFrame macro="">
          <xdr:nvGraphicFramePr>
            <xdr:cNvPr id="8" name="Risk_Category 2">
              <a:extLst>
                <a:ext uri="{FF2B5EF4-FFF2-40B4-BE49-F238E27FC236}">
                  <a16:creationId xmlns:a16="http://schemas.microsoft.com/office/drawing/2014/main" id="{9F2DB3FB-5DA0-4BDF-BFD7-3BB36460F6A3}"/>
                </a:ext>
              </a:extLst>
            </xdr:cNvPr>
            <xdr:cNvGraphicFramePr/>
          </xdr:nvGraphicFramePr>
          <xdr:xfrm>
            <a:off x="0" y="0"/>
            <a:ext cx="0" cy="0"/>
          </xdr:xfrm>
          <a:graphic>
            <a:graphicData uri="http://schemas.microsoft.com/office/drawing/2010/slicer">
              <sle:slicer xmlns:sle="http://schemas.microsoft.com/office/drawing/2010/slicer" name="Risk_Category 2"/>
            </a:graphicData>
          </a:graphic>
        </xdr:graphicFrame>
      </mc:Choice>
      <mc:Fallback xmlns="">
        <xdr:sp macro="" textlink="">
          <xdr:nvSpPr>
            <xdr:cNvPr id="0" name=""/>
            <xdr:cNvSpPr>
              <a:spLocks noTextEdit="1"/>
            </xdr:cNvSpPr>
          </xdr:nvSpPr>
          <xdr:spPr>
            <a:xfrm>
              <a:off x="32653136" y="4290479"/>
              <a:ext cx="3367100" cy="3068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132366</xdr:colOff>
      <xdr:row>3</xdr:row>
      <xdr:rowOff>226407</xdr:rowOff>
    </xdr:from>
    <xdr:to>
      <xdr:col>9</xdr:col>
      <xdr:colOff>281508</xdr:colOff>
      <xdr:row>8</xdr:row>
      <xdr:rowOff>139484</xdr:rowOff>
    </xdr:to>
    <xdr:sp macro="" textlink="">
      <xdr:nvSpPr>
        <xdr:cNvPr id="10" name="Rectangle: Rounded Corners 9">
          <a:extLst>
            <a:ext uri="{FF2B5EF4-FFF2-40B4-BE49-F238E27FC236}">
              <a16:creationId xmlns:a16="http://schemas.microsoft.com/office/drawing/2014/main" id="{6004DE86-8A72-4A38-869E-48DE006B8725}"/>
            </a:ext>
          </a:extLst>
        </xdr:cNvPr>
        <xdr:cNvSpPr/>
      </xdr:nvSpPr>
      <xdr:spPr>
        <a:xfrm>
          <a:off x="9450537" y="2142293"/>
          <a:ext cx="8640000" cy="209022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914400" lvl="2" indent="0" algn="ctr"/>
          <a:r>
            <a:rPr lang="en-IN" sz="4400" b="1" i="0" u="none" strike="noStrike">
              <a:solidFill>
                <a:schemeClr val="bg1"/>
              </a:solidFill>
              <a:effectLst/>
              <a:latin typeface="+mn-lt"/>
              <a:ea typeface="+mn-ea"/>
              <a:cs typeface="+mn-cs"/>
            </a:rPr>
            <a:t>High Risk Customers</a:t>
          </a:r>
        </a:p>
        <a:p>
          <a:pPr marL="914400" lvl="2" indent="0" algn="l"/>
          <a:r>
            <a:rPr lang="en-IN" sz="4400" b="1" i="0" u="none" strike="noStrike">
              <a:solidFill>
                <a:schemeClr val="bg1"/>
              </a:solidFill>
              <a:effectLst/>
              <a:latin typeface="+mn-lt"/>
              <a:ea typeface="+mn-ea"/>
              <a:cs typeface="+mn-cs"/>
            </a:rPr>
            <a:t>                 174</a:t>
          </a:r>
        </a:p>
      </xdr:txBody>
    </xdr:sp>
    <xdr:clientData/>
  </xdr:twoCellAnchor>
  <xdr:twoCellAnchor>
    <xdr:from>
      <xdr:col>9</xdr:col>
      <xdr:colOff>792607</xdr:colOff>
      <xdr:row>3</xdr:row>
      <xdr:rowOff>252623</xdr:rowOff>
    </xdr:from>
    <xdr:to>
      <xdr:col>14</xdr:col>
      <xdr:colOff>941750</xdr:colOff>
      <xdr:row>8</xdr:row>
      <xdr:rowOff>158080</xdr:rowOff>
    </xdr:to>
    <xdr:sp macro="" textlink="">
      <xdr:nvSpPr>
        <xdr:cNvPr id="11" name="Rectangle: Rounded Corners 10">
          <a:extLst>
            <a:ext uri="{FF2B5EF4-FFF2-40B4-BE49-F238E27FC236}">
              <a16:creationId xmlns:a16="http://schemas.microsoft.com/office/drawing/2014/main" id="{0C0733F1-23AD-403D-B23A-80A16B1602F7}"/>
            </a:ext>
          </a:extLst>
        </xdr:cNvPr>
        <xdr:cNvSpPr/>
      </xdr:nvSpPr>
      <xdr:spPr>
        <a:xfrm>
          <a:off x="18601636" y="2168509"/>
          <a:ext cx="8640000" cy="208260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i="0">
              <a:solidFill>
                <a:schemeClr val="lt1"/>
              </a:solidFill>
              <a:effectLst/>
              <a:latin typeface="+mn-lt"/>
              <a:ea typeface="+mn-ea"/>
              <a:cs typeface="+mn-cs"/>
            </a:rPr>
            <a:t>PEP Customers</a:t>
          </a:r>
        </a:p>
        <a:p>
          <a:pPr algn="ctr"/>
          <a:r>
            <a:rPr lang="en-IN" sz="4400" b="1" i="0">
              <a:solidFill>
                <a:schemeClr val="lt1"/>
              </a:solidFill>
              <a:effectLst/>
              <a:latin typeface="+mn-lt"/>
              <a:ea typeface="+mn-ea"/>
              <a:cs typeface="+mn-cs"/>
            </a:rPr>
            <a:t>24</a:t>
          </a:r>
          <a:endParaRPr lang="en-IN" sz="4400" b="1">
            <a:effectLst/>
          </a:endParaRPr>
        </a:p>
        <a:p>
          <a:pPr marL="914400" lvl="2" indent="0" algn="l"/>
          <a:endParaRPr lang="en-IN" sz="2000" b="0" i="0" u="none" strike="noStrike">
            <a:solidFill>
              <a:schemeClr val="tx2"/>
            </a:solidFill>
            <a:effectLst/>
            <a:latin typeface="+mn-lt"/>
            <a:ea typeface="+mn-ea"/>
            <a:cs typeface="+mn-cs"/>
          </a:endParaRPr>
        </a:p>
      </xdr:txBody>
    </xdr:sp>
    <xdr:clientData/>
  </xdr:twoCellAnchor>
  <xdr:twoCellAnchor>
    <xdr:from>
      <xdr:col>14</xdr:col>
      <xdr:colOff>1174714</xdr:colOff>
      <xdr:row>3</xdr:row>
      <xdr:rowOff>251285</xdr:rowOff>
    </xdr:from>
    <xdr:to>
      <xdr:col>19</xdr:col>
      <xdr:colOff>1323857</xdr:colOff>
      <xdr:row>8</xdr:row>
      <xdr:rowOff>164362</xdr:rowOff>
    </xdr:to>
    <xdr:sp macro="" textlink="">
      <xdr:nvSpPr>
        <xdr:cNvPr id="12" name="Rectangle: Rounded Corners 11">
          <a:extLst>
            <a:ext uri="{FF2B5EF4-FFF2-40B4-BE49-F238E27FC236}">
              <a16:creationId xmlns:a16="http://schemas.microsoft.com/office/drawing/2014/main" id="{9065925D-9589-41C6-951F-850AACB80E7A}"/>
            </a:ext>
          </a:extLst>
        </xdr:cNvPr>
        <xdr:cNvSpPr/>
      </xdr:nvSpPr>
      <xdr:spPr>
        <a:xfrm>
          <a:off x="27474600" y="2167171"/>
          <a:ext cx="8640000" cy="209022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i="0" u="none" strike="noStrike">
              <a:solidFill>
                <a:schemeClr val="bg1"/>
              </a:solidFill>
              <a:effectLst/>
              <a:latin typeface="+mn-lt"/>
              <a:ea typeface="+mn-ea"/>
              <a:cs typeface="+mn-cs"/>
            </a:rPr>
            <a:t>Average Risk Score</a:t>
          </a:r>
          <a:r>
            <a:rPr lang="en-IN" sz="4400" b="1">
              <a:solidFill>
                <a:schemeClr val="bg1"/>
              </a:solidFill>
              <a:effectLst/>
            </a:rPr>
            <a:t> </a:t>
          </a:r>
        </a:p>
        <a:p>
          <a:pPr algn="ctr"/>
          <a:r>
            <a:rPr lang="en-IN" sz="4400" b="1">
              <a:solidFill>
                <a:schemeClr val="bg1"/>
              </a:solidFill>
              <a:effectLst/>
            </a:rPr>
            <a:t>     72</a:t>
          </a:r>
        </a:p>
        <a:p>
          <a:pPr algn="l"/>
          <a:endParaRPr lang="en-IN" sz="2400" b="1">
            <a:solidFill>
              <a:schemeClr val="bg1"/>
            </a:solidFill>
          </a:endParaRPr>
        </a:p>
      </xdr:txBody>
    </xdr:sp>
    <xdr:clientData/>
  </xdr:twoCellAnchor>
  <xdr:twoCellAnchor>
    <xdr:from>
      <xdr:col>0</xdr:col>
      <xdr:colOff>238102</xdr:colOff>
      <xdr:row>3</xdr:row>
      <xdr:rowOff>187393</xdr:rowOff>
    </xdr:from>
    <xdr:to>
      <xdr:col>3</xdr:col>
      <xdr:colOff>1258102</xdr:colOff>
      <xdr:row>8</xdr:row>
      <xdr:rowOff>100470</xdr:rowOff>
    </xdr:to>
    <xdr:sp macro="" textlink="">
      <xdr:nvSpPr>
        <xdr:cNvPr id="9" name="Rectangle: Rounded Corners 8">
          <a:extLst>
            <a:ext uri="{FF2B5EF4-FFF2-40B4-BE49-F238E27FC236}">
              <a16:creationId xmlns:a16="http://schemas.microsoft.com/office/drawing/2014/main" id="{A16455DC-C60E-BEEC-2702-6AEC99ABA512}"/>
            </a:ext>
          </a:extLst>
        </xdr:cNvPr>
        <xdr:cNvSpPr/>
      </xdr:nvSpPr>
      <xdr:spPr>
        <a:xfrm>
          <a:off x="238102" y="2103279"/>
          <a:ext cx="8640000" cy="209022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4400" b="1" i="0" u="none" strike="noStrike">
              <a:solidFill>
                <a:schemeClr val="bg1"/>
              </a:solidFill>
              <a:effectLst/>
              <a:latin typeface="+mn-lt"/>
              <a:ea typeface="+mn-ea"/>
              <a:cs typeface="+mn-cs"/>
            </a:rPr>
            <a:t>Total Customers</a:t>
          </a:r>
        </a:p>
        <a:p>
          <a:pPr lvl="0" algn="ctr"/>
          <a:r>
            <a:rPr lang="en-IN" sz="4400" b="1">
              <a:solidFill>
                <a:schemeClr val="bg1"/>
              </a:solidFill>
              <a:effectLst/>
            </a:rPr>
            <a:t>500</a:t>
          </a:r>
          <a:endParaRPr lang="en-IN" sz="4400" b="1">
            <a:solidFill>
              <a:schemeClr val="bg1"/>
            </a:solidFill>
          </a:endParaRPr>
        </a:p>
      </xdr:txBody>
    </xdr:sp>
    <xdr:clientData/>
  </xdr:twoCellAnchor>
  <xdr:oneCellAnchor>
    <xdr:from>
      <xdr:col>6</xdr:col>
      <xdr:colOff>303921</xdr:colOff>
      <xdr:row>5</xdr:row>
      <xdr:rowOff>0</xdr:rowOff>
    </xdr:from>
    <xdr:ext cx="184731" cy="264560"/>
    <xdr:sp macro="" textlink="">
      <xdr:nvSpPr>
        <xdr:cNvPr id="3" name="TextBox 2">
          <a:extLst>
            <a:ext uri="{FF2B5EF4-FFF2-40B4-BE49-F238E27FC236}">
              <a16:creationId xmlns:a16="http://schemas.microsoft.com/office/drawing/2014/main" id="{164C4279-EDCD-DF60-0A9D-CB40B4C736F9}"/>
            </a:ext>
          </a:extLst>
        </xdr:cNvPr>
        <xdr:cNvSpPr txBox="1"/>
      </xdr:nvSpPr>
      <xdr:spPr>
        <a:xfrm>
          <a:off x="12128059" y="13794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254000</xdr:colOff>
      <xdr:row>9</xdr:row>
      <xdr:rowOff>139899</xdr:rowOff>
    </xdr:from>
    <xdr:to>
      <xdr:col>17</xdr:col>
      <xdr:colOff>1046498</xdr:colOff>
      <xdr:row>32</xdr:row>
      <xdr:rowOff>239486</xdr:rowOff>
    </xdr:to>
    <xdr:sp macro="" textlink="">
      <xdr:nvSpPr>
        <xdr:cNvPr id="7" name="TextBox 6">
          <a:extLst>
            <a:ext uri="{FF2B5EF4-FFF2-40B4-BE49-F238E27FC236}">
              <a16:creationId xmlns:a16="http://schemas.microsoft.com/office/drawing/2014/main" id="{DEFB5CE9-D468-AF99-3480-1F90775010E0}"/>
            </a:ext>
          </a:extLst>
        </xdr:cNvPr>
        <xdr:cNvSpPr txBox="1"/>
      </xdr:nvSpPr>
      <xdr:spPr>
        <a:xfrm>
          <a:off x="28252057" y="4320013"/>
          <a:ext cx="4188841" cy="1011444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0">
              <a:solidFill>
                <a:schemeClr val="accent1">
                  <a:lumMod val="50000"/>
                </a:schemeClr>
              </a:solidFill>
            </a:rPr>
            <a:t>Key Findings</a:t>
          </a:r>
        </a:p>
        <a:p>
          <a:endParaRPr lang="en-IN" sz="2600" b="0">
            <a:solidFill>
              <a:schemeClr val="accent1">
                <a:lumMod val="50000"/>
              </a:schemeClr>
            </a:solidFill>
          </a:endParaRPr>
        </a:p>
        <a:p>
          <a:r>
            <a:rPr lang="en-IN" sz="2600"/>
            <a:t>✓ </a:t>
          </a:r>
          <a:r>
            <a:rPr lang="en-IN" sz="2600" b="0">
              <a:solidFill>
                <a:schemeClr val="accent1">
                  <a:lumMod val="50000"/>
                </a:schemeClr>
              </a:solidFill>
            </a:rPr>
            <a:t>35% of customers belong to the High-Risk category and require Enhanced Due Diligence.</a:t>
          </a:r>
        </a:p>
        <a:p>
          <a:endParaRPr lang="en-IN" sz="2600" b="0">
            <a:solidFill>
              <a:schemeClr val="accent1">
                <a:lumMod val="50000"/>
              </a:schemeClr>
            </a:solidFill>
          </a:endParaRPr>
        </a:p>
        <a:p>
          <a:r>
            <a:rPr lang="en-IN" sz="2600"/>
            <a:t>✓ </a:t>
          </a:r>
          <a:r>
            <a:rPr lang="en-IN" sz="2600" b="0">
              <a:solidFill>
                <a:schemeClr val="accent1">
                  <a:lumMod val="50000"/>
                </a:schemeClr>
              </a:solidFill>
            </a:rPr>
            <a:t>Politicians (93) and Cash-Intensive Businesses (89.3) exhibit the highest average risk scores.</a:t>
          </a:r>
        </a:p>
        <a:p>
          <a:endParaRPr lang="en-IN" sz="2600" b="0">
            <a:solidFill>
              <a:schemeClr val="accent1">
                <a:lumMod val="50000"/>
              </a:schemeClr>
            </a:solidFill>
          </a:endParaRPr>
        </a:p>
        <a:p>
          <a:r>
            <a:rPr lang="en-IN" sz="2600"/>
            <a:t>✓ </a:t>
          </a:r>
          <a:r>
            <a:rPr lang="en-IN" sz="2600" b="0">
              <a:solidFill>
                <a:schemeClr val="accent1">
                  <a:lumMod val="50000"/>
                </a:schemeClr>
              </a:solidFill>
            </a:rPr>
            <a:t>PEP customers demonstrate elevated risk exposure and require enhanced monitoring.</a:t>
          </a:r>
        </a:p>
        <a:p>
          <a:endParaRPr lang="en-IN" sz="2600" b="0">
            <a:solidFill>
              <a:schemeClr val="accent1">
                <a:lumMod val="50000"/>
              </a:schemeClr>
            </a:solidFill>
          </a:endParaRPr>
        </a:p>
        <a:p>
          <a:r>
            <a:rPr lang="en-IN" sz="2600"/>
            <a:t>✓ </a:t>
          </a:r>
          <a:r>
            <a:rPr lang="en-IN" sz="2600" b="0">
              <a:solidFill>
                <a:schemeClr val="accent1">
                  <a:lumMod val="50000"/>
                </a:schemeClr>
              </a:solidFill>
            </a:rPr>
            <a:t>UAE and Singapore contribute a significant number of customers requiring additional scrutiny.</a:t>
          </a:r>
        </a:p>
        <a:p>
          <a:endParaRPr lang="en-IN" sz="2600">
            <a:ln>
              <a:solidFill>
                <a:schemeClr val="accent1">
                  <a:shade val="15000"/>
                </a:schemeClr>
              </a:solidFill>
            </a:ln>
            <a:solidFill>
              <a:schemeClr val="dk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esh Panchal" refreshedDate="46183.679631828702" createdVersion="8" refreshedVersion="8" minRefreshableVersion="3" recordCount="500" xr:uid="{243467F7-C118-4F49-8C32-F8DCD2471CE9}">
  <cacheSource type="worksheet">
    <worksheetSource name="tblcustomers"/>
  </cacheSource>
  <cacheFields count="11">
    <cacheField name="Customer_ID" numFmtId="0">
      <sharedItems count="50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Age" numFmtId="0">
      <sharedItems containsSemiMixedTypes="0" containsString="0" containsNumber="1" containsInteger="1" minValue="21" maxValue="75"/>
    </cacheField>
    <cacheField name="Country" numFmtId="0">
      <sharedItems count="8">
        <s v="USA"/>
        <s v="India"/>
        <s v="Singapore"/>
        <s v="UAE"/>
        <s v="Iran"/>
        <s v="Russia"/>
        <s v="Syria"/>
        <s v="UK"/>
      </sharedItems>
    </cacheField>
    <cacheField name="Occupation" numFmtId="0">
      <sharedItems count="6">
        <s v="Salaried"/>
        <s v="Student"/>
        <s v="Cash Intensive Business"/>
        <s v="Consultant"/>
        <s v="Business Owner"/>
        <s v="Politician"/>
      </sharedItems>
    </cacheField>
    <cacheField name="Annual_Income" numFmtId="0">
      <sharedItems containsSemiMixedTypes="0" containsString="0" containsNumber="1" containsInteger="1" minValue="347572" maxValue="9932359"/>
    </cacheField>
    <cacheField name="Monthly_Transactions" numFmtId="0">
      <sharedItems containsSemiMixedTypes="0" containsString="0" containsNumber="1" containsInteger="1" minValue="1" maxValue="60"/>
    </cacheField>
    <cacheField name="Avg_Transaction_Value" numFmtId="0">
      <sharedItems containsSemiMixedTypes="0" containsString="0" containsNumber="1" containsInteger="1" minValue="5212" maxValue="499647"/>
    </cacheField>
    <cacheField name="PEP" numFmtId="0">
      <sharedItems count="2">
        <s v="No"/>
        <s v="Yes"/>
      </sharedItems>
    </cacheField>
    <cacheField name="High_Risk_Country" numFmtId="0">
      <sharedItems count="2">
        <s v="No"/>
        <s v="Yes"/>
      </sharedItems>
    </cacheField>
    <cacheField name="Risk_Score" numFmtId="0">
      <sharedItems containsSemiMixedTypes="0" containsString="0" containsNumber="1" containsInteger="1" minValue="15" maxValue="160"/>
    </cacheField>
    <cacheField name="Risk_Category" numFmtId="0">
      <sharedItems count="3">
        <s v="Medium Risk"/>
        <s v="Low Risk"/>
        <s v="High Risk"/>
      </sharedItems>
    </cacheField>
  </cacheFields>
  <extLst>
    <ext xmlns:x14="http://schemas.microsoft.com/office/spreadsheetml/2009/9/main" uri="{725AE2AE-9491-48be-B2B4-4EB974FC3084}">
      <x14:pivotCacheDefinition pivotCacheId="579171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61"/>
    <x v="0"/>
    <x v="0"/>
    <n v="4914226"/>
    <n v="16"/>
    <n v="122026"/>
    <x v="0"/>
    <x v="0"/>
    <n v="45"/>
    <x v="0"/>
  </r>
  <r>
    <x v="1"/>
    <n v="27"/>
    <x v="0"/>
    <x v="1"/>
    <n v="7378673"/>
    <n v="3"/>
    <n v="20622"/>
    <x v="0"/>
    <x v="0"/>
    <n v="15"/>
    <x v="1"/>
  </r>
  <r>
    <x v="2"/>
    <n v="35"/>
    <x v="1"/>
    <x v="1"/>
    <n v="3635942"/>
    <n v="46"/>
    <n v="345726"/>
    <x v="0"/>
    <x v="0"/>
    <n v="55"/>
    <x v="0"/>
  </r>
  <r>
    <x v="3"/>
    <n v="47"/>
    <x v="2"/>
    <x v="2"/>
    <n v="4967265"/>
    <n v="52"/>
    <n v="460763"/>
    <x v="1"/>
    <x v="0"/>
    <n v="125"/>
    <x v="2"/>
  </r>
  <r>
    <x v="4"/>
    <n v="72"/>
    <x v="3"/>
    <x v="3"/>
    <n v="7390293"/>
    <n v="22"/>
    <n v="150684"/>
    <x v="0"/>
    <x v="0"/>
    <n v="50"/>
    <x v="0"/>
  </r>
  <r>
    <x v="5"/>
    <n v="69"/>
    <x v="4"/>
    <x v="0"/>
    <n v="1856017"/>
    <n v="25"/>
    <n v="55707"/>
    <x v="0"/>
    <x v="1"/>
    <n v="65"/>
    <x v="0"/>
  </r>
  <r>
    <x v="6"/>
    <n v="43"/>
    <x v="5"/>
    <x v="0"/>
    <n v="8007870"/>
    <n v="35"/>
    <n v="70444"/>
    <x v="0"/>
    <x v="1"/>
    <n v="75"/>
    <x v="0"/>
  </r>
  <r>
    <x v="7"/>
    <n v="45"/>
    <x v="0"/>
    <x v="1"/>
    <n v="5218715"/>
    <n v="54"/>
    <n v="334588"/>
    <x v="0"/>
    <x v="0"/>
    <n v="55"/>
    <x v="0"/>
  </r>
  <r>
    <x v="8"/>
    <n v="44"/>
    <x v="2"/>
    <x v="3"/>
    <n v="1466941"/>
    <n v="3"/>
    <n v="351692"/>
    <x v="0"/>
    <x v="0"/>
    <n v="40"/>
    <x v="1"/>
  </r>
  <r>
    <x v="9"/>
    <n v="39"/>
    <x v="0"/>
    <x v="4"/>
    <n v="1994522"/>
    <n v="25"/>
    <n v="150738"/>
    <x v="0"/>
    <x v="0"/>
    <n v="60"/>
    <x v="0"/>
  </r>
  <r>
    <x v="10"/>
    <n v="74"/>
    <x v="4"/>
    <x v="4"/>
    <n v="6510606"/>
    <n v="23"/>
    <n v="114842"/>
    <x v="0"/>
    <x v="1"/>
    <n v="90"/>
    <x v="2"/>
  </r>
  <r>
    <x v="11"/>
    <n v="65"/>
    <x v="0"/>
    <x v="1"/>
    <n v="3171230"/>
    <n v="35"/>
    <n v="387272"/>
    <x v="0"/>
    <x v="0"/>
    <n v="55"/>
    <x v="0"/>
  </r>
  <r>
    <x v="12"/>
    <n v="50"/>
    <x v="6"/>
    <x v="5"/>
    <n v="9644066"/>
    <n v="15"/>
    <n v="363935"/>
    <x v="0"/>
    <x v="1"/>
    <n v="110"/>
    <x v="2"/>
  </r>
  <r>
    <x v="13"/>
    <n v="70"/>
    <x v="1"/>
    <x v="4"/>
    <n v="838552"/>
    <n v="52"/>
    <n v="170388"/>
    <x v="0"/>
    <x v="0"/>
    <n v="70"/>
    <x v="0"/>
  </r>
  <r>
    <x v="14"/>
    <n v="25"/>
    <x v="2"/>
    <x v="1"/>
    <n v="5579418"/>
    <n v="14"/>
    <n v="348638"/>
    <x v="0"/>
    <x v="0"/>
    <n v="45"/>
    <x v="0"/>
  </r>
  <r>
    <x v="15"/>
    <n v="62"/>
    <x v="7"/>
    <x v="4"/>
    <n v="4743951"/>
    <n v="9"/>
    <n v="134303"/>
    <x v="0"/>
    <x v="0"/>
    <n v="50"/>
    <x v="0"/>
  </r>
  <r>
    <x v="16"/>
    <n v="55"/>
    <x v="5"/>
    <x v="3"/>
    <n v="7487926"/>
    <n v="58"/>
    <n v="310939"/>
    <x v="0"/>
    <x v="1"/>
    <n v="90"/>
    <x v="2"/>
  </r>
  <r>
    <x v="17"/>
    <n v="35"/>
    <x v="3"/>
    <x v="1"/>
    <n v="8579821"/>
    <n v="6"/>
    <n v="401247"/>
    <x v="1"/>
    <x v="0"/>
    <n v="75"/>
    <x v="0"/>
  </r>
  <r>
    <x v="18"/>
    <n v="28"/>
    <x v="3"/>
    <x v="3"/>
    <n v="2984052"/>
    <n v="51"/>
    <n v="361768"/>
    <x v="0"/>
    <x v="0"/>
    <n v="60"/>
    <x v="0"/>
  </r>
  <r>
    <x v="19"/>
    <n v="25"/>
    <x v="6"/>
    <x v="2"/>
    <n v="8152574"/>
    <n v="34"/>
    <n v="136813"/>
    <x v="0"/>
    <x v="1"/>
    <n v="115"/>
    <x v="2"/>
  </r>
  <r>
    <x v="20"/>
    <n v="21"/>
    <x v="0"/>
    <x v="3"/>
    <n v="9308867"/>
    <n v="49"/>
    <n v="144893"/>
    <x v="0"/>
    <x v="0"/>
    <n v="60"/>
    <x v="0"/>
  </r>
  <r>
    <x v="21"/>
    <n v="42"/>
    <x v="0"/>
    <x v="5"/>
    <n v="7594150"/>
    <n v="11"/>
    <n v="242881"/>
    <x v="1"/>
    <x v="0"/>
    <n v="120"/>
    <x v="2"/>
  </r>
  <r>
    <x v="22"/>
    <n v="67"/>
    <x v="5"/>
    <x v="1"/>
    <n v="3297281"/>
    <n v="33"/>
    <n v="483479"/>
    <x v="0"/>
    <x v="1"/>
    <n v="85"/>
    <x v="2"/>
  </r>
  <r>
    <x v="23"/>
    <n v="61"/>
    <x v="5"/>
    <x v="3"/>
    <n v="8817169"/>
    <n v="39"/>
    <n v="109286"/>
    <x v="0"/>
    <x v="1"/>
    <n v="90"/>
    <x v="2"/>
  </r>
  <r>
    <x v="24"/>
    <n v="69"/>
    <x v="3"/>
    <x v="1"/>
    <n v="9197858"/>
    <n v="59"/>
    <n v="5299"/>
    <x v="0"/>
    <x v="0"/>
    <n v="35"/>
    <x v="1"/>
  </r>
  <r>
    <x v="25"/>
    <n v="52"/>
    <x v="1"/>
    <x v="0"/>
    <n v="6389806"/>
    <n v="57"/>
    <n v="441032"/>
    <x v="0"/>
    <x v="0"/>
    <n v="55"/>
    <x v="0"/>
  </r>
  <r>
    <x v="26"/>
    <n v="36"/>
    <x v="1"/>
    <x v="4"/>
    <n v="9818669"/>
    <n v="6"/>
    <n v="49907"/>
    <x v="0"/>
    <x v="0"/>
    <n v="30"/>
    <x v="1"/>
  </r>
  <r>
    <x v="27"/>
    <n v="73"/>
    <x v="0"/>
    <x v="1"/>
    <n v="2409911"/>
    <n v="9"/>
    <n v="350899"/>
    <x v="0"/>
    <x v="0"/>
    <n v="35"/>
    <x v="1"/>
  </r>
  <r>
    <x v="28"/>
    <n v="56"/>
    <x v="3"/>
    <x v="5"/>
    <n v="9152897"/>
    <n v="56"/>
    <n v="323029"/>
    <x v="0"/>
    <x v="0"/>
    <n v="90"/>
    <x v="2"/>
  </r>
  <r>
    <x v="29"/>
    <n v="34"/>
    <x v="2"/>
    <x v="3"/>
    <n v="5529731"/>
    <n v="26"/>
    <n v="357157"/>
    <x v="0"/>
    <x v="0"/>
    <n v="50"/>
    <x v="0"/>
  </r>
  <r>
    <x v="30"/>
    <n v="49"/>
    <x v="7"/>
    <x v="0"/>
    <n v="4459166"/>
    <n v="15"/>
    <n v="38568"/>
    <x v="0"/>
    <x v="0"/>
    <n v="25"/>
    <x v="1"/>
  </r>
  <r>
    <x v="31"/>
    <n v="58"/>
    <x v="2"/>
    <x v="1"/>
    <n v="3994634"/>
    <n v="1"/>
    <n v="42220"/>
    <x v="0"/>
    <x v="0"/>
    <n v="15"/>
    <x v="1"/>
  </r>
  <r>
    <x v="32"/>
    <n v="24"/>
    <x v="2"/>
    <x v="0"/>
    <n v="827021"/>
    <n v="56"/>
    <n v="178239"/>
    <x v="0"/>
    <x v="0"/>
    <n v="55"/>
    <x v="0"/>
  </r>
  <r>
    <x v="33"/>
    <n v="36"/>
    <x v="5"/>
    <x v="3"/>
    <n v="8443903"/>
    <n v="14"/>
    <n v="287713"/>
    <x v="0"/>
    <x v="1"/>
    <n v="80"/>
    <x v="0"/>
  </r>
  <r>
    <x v="34"/>
    <n v="57"/>
    <x v="7"/>
    <x v="4"/>
    <n v="8235169"/>
    <n v="52"/>
    <n v="218416"/>
    <x v="0"/>
    <x v="0"/>
    <n v="70"/>
    <x v="0"/>
  </r>
  <r>
    <x v="35"/>
    <n v="27"/>
    <x v="6"/>
    <x v="5"/>
    <n v="7406470"/>
    <n v="27"/>
    <n v="249855"/>
    <x v="0"/>
    <x v="1"/>
    <n v="110"/>
    <x v="2"/>
  </r>
  <r>
    <x v="36"/>
    <n v="24"/>
    <x v="0"/>
    <x v="0"/>
    <n v="7054864"/>
    <n v="47"/>
    <n v="182892"/>
    <x v="0"/>
    <x v="0"/>
    <n v="55"/>
    <x v="0"/>
  </r>
  <r>
    <x v="37"/>
    <n v="27"/>
    <x v="2"/>
    <x v="4"/>
    <n v="3491175"/>
    <n v="35"/>
    <n v="240202"/>
    <x v="0"/>
    <x v="0"/>
    <n v="70"/>
    <x v="0"/>
  </r>
  <r>
    <x v="38"/>
    <n v="32"/>
    <x v="5"/>
    <x v="2"/>
    <n v="4491056"/>
    <n v="56"/>
    <n v="489057"/>
    <x v="0"/>
    <x v="1"/>
    <n v="115"/>
    <x v="2"/>
  </r>
  <r>
    <x v="39"/>
    <n v="72"/>
    <x v="0"/>
    <x v="0"/>
    <n v="9369560"/>
    <n v="54"/>
    <n v="12737"/>
    <x v="0"/>
    <x v="0"/>
    <n v="35"/>
    <x v="1"/>
  </r>
  <r>
    <x v="40"/>
    <n v="69"/>
    <x v="2"/>
    <x v="4"/>
    <n v="7118496"/>
    <n v="32"/>
    <n v="257370"/>
    <x v="0"/>
    <x v="0"/>
    <n v="70"/>
    <x v="0"/>
  </r>
  <r>
    <x v="41"/>
    <n v="46"/>
    <x v="1"/>
    <x v="4"/>
    <n v="6658113"/>
    <n v="1"/>
    <n v="209693"/>
    <x v="0"/>
    <x v="0"/>
    <n v="50"/>
    <x v="0"/>
  </r>
  <r>
    <x v="42"/>
    <n v="71"/>
    <x v="7"/>
    <x v="5"/>
    <n v="7396887"/>
    <n v="45"/>
    <n v="387995"/>
    <x v="0"/>
    <x v="0"/>
    <n v="90"/>
    <x v="2"/>
  </r>
  <r>
    <x v="43"/>
    <n v="56"/>
    <x v="7"/>
    <x v="4"/>
    <n v="3485957"/>
    <n v="19"/>
    <n v="119137"/>
    <x v="0"/>
    <x v="0"/>
    <n v="60"/>
    <x v="0"/>
  </r>
  <r>
    <x v="44"/>
    <n v="58"/>
    <x v="1"/>
    <x v="3"/>
    <n v="5561415"/>
    <n v="4"/>
    <n v="31289"/>
    <x v="0"/>
    <x v="0"/>
    <n v="20"/>
    <x v="1"/>
  </r>
  <r>
    <x v="45"/>
    <n v="53"/>
    <x v="3"/>
    <x v="0"/>
    <n v="8819948"/>
    <n v="6"/>
    <n v="451348"/>
    <x v="0"/>
    <x v="0"/>
    <n v="35"/>
    <x v="1"/>
  </r>
  <r>
    <x v="46"/>
    <n v="59"/>
    <x v="0"/>
    <x v="3"/>
    <n v="4246066"/>
    <n v="26"/>
    <n v="67855"/>
    <x v="0"/>
    <x v="0"/>
    <n v="40"/>
    <x v="1"/>
  </r>
  <r>
    <x v="47"/>
    <n v="57"/>
    <x v="2"/>
    <x v="1"/>
    <n v="966754"/>
    <n v="40"/>
    <n v="47982"/>
    <x v="0"/>
    <x v="0"/>
    <n v="35"/>
    <x v="1"/>
  </r>
  <r>
    <x v="48"/>
    <n v="58"/>
    <x v="4"/>
    <x v="5"/>
    <n v="3726900"/>
    <n v="43"/>
    <n v="380490"/>
    <x v="0"/>
    <x v="1"/>
    <n v="120"/>
    <x v="2"/>
  </r>
  <r>
    <x v="49"/>
    <n v="37"/>
    <x v="6"/>
    <x v="4"/>
    <n v="5333115"/>
    <n v="30"/>
    <n v="170767"/>
    <x v="0"/>
    <x v="1"/>
    <n v="90"/>
    <x v="2"/>
  </r>
  <r>
    <x v="50"/>
    <n v="25"/>
    <x v="1"/>
    <x v="2"/>
    <n v="9745465"/>
    <n v="7"/>
    <n v="43409"/>
    <x v="0"/>
    <x v="0"/>
    <n v="45"/>
    <x v="0"/>
  </r>
  <r>
    <x v="51"/>
    <n v="53"/>
    <x v="5"/>
    <x v="4"/>
    <n v="6155396"/>
    <n v="57"/>
    <n v="41066"/>
    <x v="0"/>
    <x v="1"/>
    <n v="80"/>
    <x v="0"/>
  </r>
  <r>
    <x v="52"/>
    <n v="44"/>
    <x v="5"/>
    <x v="4"/>
    <n v="7651517"/>
    <n v="54"/>
    <n v="289802"/>
    <x v="0"/>
    <x v="1"/>
    <n v="100"/>
    <x v="2"/>
  </r>
  <r>
    <x v="53"/>
    <n v="60"/>
    <x v="1"/>
    <x v="3"/>
    <n v="9604682"/>
    <n v="20"/>
    <n v="493508"/>
    <x v="0"/>
    <x v="0"/>
    <n v="50"/>
    <x v="0"/>
  </r>
  <r>
    <x v="54"/>
    <n v="29"/>
    <x v="5"/>
    <x v="0"/>
    <n v="2095765"/>
    <n v="48"/>
    <n v="295048"/>
    <x v="0"/>
    <x v="1"/>
    <n v="85"/>
    <x v="2"/>
  </r>
  <r>
    <x v="55"/>
    <n v="39"/>
    <x v="2"/>
    <x v="3"/>
    <n v="6052576"/>
    <n v="14"/>
    <n v="365446"/>
    <x v="0"/>
    <x v="0"/>
    <n v="50"/>
    <x v="0"/>
  </r>
  <r>
    <x v="56"/>
    <n v="37"/>
    <x v="7"/>
    <x v="5"/>
    <n v="1152264"/>
    <n v="6"/>
    <n v="337547"/>
    <x v="0"/>
    <x v="0"/>
    <n v="70"/>
    <x v="0"/>
  </r>
  <r>
    <x v="57"/>
    <n v="38"/>
    <x v="1"/>
    <x v="0"/>
    <n v="5896150"/>
    <n v="50"/>
    <n v="73587"/>
    <x v="0"/>
    <x v="0"/>
    <n v="45"/>
    <x v="0"/>
  </r>
  <r>
    <x v="58"/>
    <n v="37"/>
    <x v="3"/>
    <x v="3"/>
    <n v="7712769"/>
    <n v="36"/>
    <n v="374972"/>
    <x v="0"/>
    <x v="0"/>
    <n v="60"/>
    <x v="0"/>
  </r>
  <r>
    <x v="59"/>
    <n v="21"/>
    <x v="0"/>
    <x v="0"/>
    <n v="2800715"/>
    <n v="35"/>
    <n v="23889"/>
    <x v="0"/>
    <x v="0"/>
    <n v="35"/>
    <x v="1"/>
  </r>
  <r>
    <x v="60"/>
    <n v="58"/>
    <x v="3"/>
    <x v="2"/>
    <n v="2438181"/>
    <n v="3"/>
    <n v="166616"/>
    <x v="0"/>
    <x v="0"/>
    <n v="65"/>
    <x v="0"/>
  </r>
  <r>
    <x v="61"/>
    <n v="71"/>
    <x v="1"/>
    <x v="5"/>
    <n v="3824499"/>
    <n v="44"/>
    <n v="135825"/>
    <x v="0"/>
    <x v="0"/>
    <n v="90"/>
    <x v="2"/>
  </r>
  <r>
    <x v="62"/>
    <n v="43"/>
    <x v="6"/>
    <x v="1"/>
    <n v="2892974"/>
    <n v="60"/>
    <n v="492525"/>
    <x v="0"/>
    <x v="1"/>
    <n v="85"/>
    <x v="2"/>
  </r>
  <r>
    <x v="63"/>
    <n v="31"/>
    <x v="3"/>
    <x v="2"/>
    <n v="715846"/>
    <n v="12"/>
    <n v="391171"/>
    <x v="0"/>
    <x v="0"/>
    <n v="75"/>
    <x v="0"/>
  </r>
  <r>
    <x v="64"/>
    <n v="71"/>
    <x v="6"/>
    <x v="3"/>
    <n v="4463555"/>
    <n v="18"/>
    <n v="88465"/>
    <x v="0"/>
    <x v="1"/>
    <n v="70"/>
    <x v="0"/>
  </r>
  <r>
    <x v="65"/>
    <n v="27"/>
    <x v="6"/>
    <x v="0"/>
    <n v="8196868"/>
    <n v="15"/>
    <n v="109633"/>
    <x v="0"/>
    <x v="1"/>
    <n v="75"/>
    <x v="0"/>
  </r>
  <r>
    <x v="66"/>
    <n v="50"/>
    <x v="4"/>
    <x v="5"/>
    <n v="4118418"/>
    <n v="15"/>
    <n v="17406"/>
    <x v="0"/>
    <x v="1"/>
    <n v="90"/>
    <x v="2"/>
  </r>
  <r>
    <x v="67"/>
    <n v="46"/>
    <x v="4"/>
    <x v="5"/>
    <n v="1464686"/>
    <n v="50"/>
    <n v="151341"/>
    <x v="0"/>
    <x v="1"/>
    <n v="120"/>
    <x v="2"/>
  </r>
  <r>
    <x v="68"/>
    <n v="53"/>
    <x v="6"/>
    <x v="3"/>
    <n v="9296207"/>
    <n v="22"/>
    <n v="497430"/>
    <x v="1"/>
    <x v="1"/>
    <n v="120"/>
    <x v="2"/>
  </r>
  <r>
    <x v="69"/>
    <n v="37"/>
    <x v="3"/>
    <x v="1"/>
    <n v="4753786"/>
    <n v="3"/>
    <n v="61834"/>
    <x v="0"/>
    <x v="0"/>
    <n v="25"/>
    <x v="1"/>
  </r>
  <r>
    <x v="70"/>
    <n v="43"/>
    <x v="4"/>
    <x v="2"/>
    <n v="8880255"/>
    <n v="8"/>
    <n v="206953"/>
    <x v="0"/>
    <x v="1"/>
    <n v="95"/>
    <x v="2"/>
  </r>
  <r>
    <x v="71"/>
    <n v="33"/>
    <x v="5"/>
    <x v="0"/>
    <n v="7615831"/>
    <n v="1"/>
    <n v="277587"/>
    <x v="0"/>
    <x v="1"/>
    <n v="65"/>
    <x v="0"/>
  </r>
  <r>
    <x v="72"/>
    <n v="55"/>
    <x v="2"/>
    <x v="5"/>
    <n v="7535969"/>
    <n v="5"/>
    <n v="353251"/>
    <x v="0"/>
    <x v="0"/>
    <n v="70"/>
    <x v="0"/>
  </r>
  <r>
    <x v="73"/>
    <n v="60"/>
    <x v="4"/>
    <x v="3"/>
    <n v="2390865"/>
    <n v="47"/>
    <n v="476883"/>
    <x v="0"/>
    <x v="1"/>
    <n v="90"/>
    <x v="2"/>
  </r>
  <r>
    <x v="74"/>
    <n v="40"/>
    <x v="6"/>
    <x v="5"/>
    <n v="7051158"/>
    <n v="45"/>
    <n v="160008"/>
    <x v="0"/>
    <x v="1"/>
    <n v="120"/>
    <x v="2"/>
  </r>
  <r>
    <x v="75"/>
    <n v="33"/>
    <x v="6"/>
    <x v="3"/>
    <n v="6661002"/>
    <n v="44"/>
    <n v="397237"/>
    <x v="0"/>
    <x v="1"/>
    <n v="90"/>
    <x v="2"/>
  </r>
  <r>
    <x v="76"/>
    <n v="60"/>
    <x v="5"/>
    <x v="2"/>
    <n v="9492860"/>
    <n v="54"/>
    <n v="5212"/>
    <x v="0"/>
    <x v="1"/>
    <n v="95"/>
    <x v="2"/>
  </r>
  <r>
    <x v="77"/>
    <n v="34"/>
    <x v="6"/>
    <x v="1"/>
    <n v="5706444"/>
    <n v="30"/>
    <n v="236623"/>
    <x v="0"/>
    <x v="1"/>
    <n v="75"/>
    <x v="0"/>
  </r>
  <r>
    <x v="78"/>
    <n v="34"/>
    <x v="7"/>
    <x v="3"/>
    <n v="3146949"/>
    <n v="43"/>
    <n v="49457"/>
    <x v="0"/>
    <x v="0"/>
    <n v="40"/>
    <x v="1"/>
  </r>
  <r>
    <x v="79"/>
    <n v="63"/>
    <x v="4"/>
    <x v="0"/>
    <n v="4240441"/>
    <n v="44"/>
    <n v="167749"/>
    <x v="0"/>
    <x v="1"/>
    <n v="85"/>
    <x v="2"/>
  </r>
  <r>
    <x v="80"/>
    <n v="33"/>
    <x v="3"/>
    <x v="0"/>
    <n v="1075337"/>
    <n v="16"/>
    <n v="254108"/>
    <x v="0"/>
    <x v="0"/>
    <n v="45"/>
    <x v="0"/>
  </r>
  <r>
    <x v="81"/>
    <n v="70"/>
    <x v="0"/>
    <x v="2"/>
    <n v="7253166"/>
    <n v="57"/>
    <n v="335178"/>
    <x v="0"/>
    <x v="0"/>
    <n v="85"/>
    <x v="2"/>
  </r>
  <r>
    <x v="82"/>
    <n v="66"/>
    <x v="6"/>
    <x v="2"/>
    <n v="7005062"/>
    <n v="16"/>
    <n v="82369"/>
    <x v="0"/>
    <x v="1"/>
    <n v="95"/>
    <x v="2"/>
  </r>
  <r>
    <x v="83"/>
    <n v="21"/>
    <x v="0"/>
    <x v="2"/>
    <n v="3971545"/>
    <n v="12"/>
    <n v="426585"/>
    <x v="0"/>
    <x v="0"/>
    <n v="75"/>
    <x v="0"/>
  </r>
  <r>
    <x v="84"/>
    <n v="54"/>
    <x v="7"/>
    <x v="0"/>
    <n v="9651717"/>
    <n v="16"/>
    <n v="486018"/>
    <x v="0"/>
    <x v="0"/>
    <n v="45"/>
    <x v="0"/>
  </r>
  <r>
    <x v="85"/>
    <n v="50"/>
    <x v="3"/>
    <x v="2"/>
    <n v="9210914"/>
    <n v="36"/>
    <n v="317188"/>
    <x v="0"/>
    <x v="0"/>
    <n v="85"/>
    <x v="2"/>
  </r>
  <r>
    <x v="86"/>
    <n v="69"/>
    <x v="7"/>
    <x v="1"/>
    <n v="8768772"/>
    <n v="28"/>
    <n v="440457"/>
    <x v="0"/>
    <x v="0"/>
    <n v="45"/>
    <x v="0"/>
  </r>
  <r>
    <x v="87"/>
    <n v="49"/>
    <x v="3"/>
    <x v="3"/>
    <n v="8263715"/>
    <n v="29"/>
    <n v="140891"/>
    <x v="0"/>
    <x v="0"/>
    <n v="50"/>
    <x v="0"/>
  </r>
  <r>
    <x v="88"/>
    <n v="74"/>
    <x v="5"/>
    <x v="1"/>
    <n v="8430188"/>
    <n v="41"/>
    <n v="130433"/>
    <x v="0"/>
    <x v="1"/>
    <n v="85"/>
    <x v="2"/>
  </r>
  <r>
    <x v="89"/>
    <n v="25"/>
    <x v="5"/>
    <x v="4"/>
    <n v="4858623"/>
    <n v="22"/>
    <n v="172619"/>
    <x v="0"/>
    <x v="1"/>
    <n v="90"/>
    <x v="2"/>
  </r>
  <r>
    <x v="90"/>
    <n v="26"/>
    <x v="3"/>
    <x v="4"/>
    <n v="4179923"/>
    <n v="25"/>
    <n v="368829"/>
    <x v="0"/>
    <x v="0"/>
    <n v="60"/>
    <x v="0"/>
  </r>
  <r>
    <x v="91"/>
    <n v="34"/>
    <x v="0"/>
    <x v="2"/>
    <n v="7138382"/>
    <n v="22"/>
    <n v="289484"/>
    <x v="0"/>
    <x v="0"/>
    <n v="75"/>
    <x v="0"/>
  </r>
  <r>
    <x v="92"/>
    <n v="24"/>
    <x v="2"/>
    <x v="2"/>
    <n v="6834336"/>
    <n v="58"/>
    <n v="408594"/>
    <x v="0"/>
    <x v="0"/>
    <n v="85"/>
    <x v="2"/>
  </r>
  <r>
    <x v="93"/>
    <n v="65"/>
    <x v="1"/>
    <x v="1"/>
    <n v="6681734"/>
    <n v="31"/>
    <n v="8091"/>
    <x v="0"/>
    <x v="0"/>
    <n v="35"/>
    <x v="1"/>
  </r>
  <r>
    <x v="94"/>
    <n v="40"/>
    <x v="6"/>
    <x v="2"/>
    <n v="9329842"/>
    <n v="48"/>
    <n v="390159"/>
    <x v="0"/>
    <x v="1"/>
    <n v="115"/>
    <x v="2"/>
  </r>
  <r>
    <x v="95"/>
    <n v="59"/>
    <x v="2"/>
    <x v="2"/>
    <n v="3981284"/>
    <n v="18"/>
    <n v="233503"/>
    <x v="0"/>
    <x v="0"/>
    <n v="75"/>
    <x v="0"/>
  </r>
  <r>
    <x v="96"/>
    <n v="45"/>
    <x v="4"/>
    <x v="3"/>
    <n v="7083308"/>
    <n v="47"/>
    <n v="91530"/>
    <x v="0"/>
    <x v="1"/>
    <n v="80"/>
    <x v="0"/>
  </r>
  <r>
    <x v="97"/>
    <n v="29"/>
    <x v="1"/>
    <x v="2"/>
    <n v="9768926"/>
    <n v="43"/>
    <n v="19209"/>
    <x v="0"/>
    <x v="0"/>
    <n v="65"/>
    <x v="0"/>
  </r>
  <r>
    <x v="98"/>
    <n v="48"/>
    <x v="3"/>
    <x v="2"/>
    <n v="3348907"/>
    <n v="4"/>
    <n v="141396"/>
    <x v="0"/>
    <x v="0"/>
    <n v="65"/>
    <x v="0"/>
  </r>
  <r>
    <x v="99"/>
    <n v="34"/>
    <x v="7"/>
    <x v="5"/>
    <n v="5962319"/>
    <n v="49"/>
    <n v="466184"/>
    <x v="0"/>
    <x v="0"/>
    <n v="90"/>
    <x v="2"/>
  </r>
  <r>
    <x v="100"/>
    <n v="69"/>
    <x v="6"/>
    <x v="5"/>
    <n v="1674158"/>
    <n v="31"/>
    <n v="15162"/>
    <x v="0"/>
    <x v="1"/>
    <n v="100"/>
    <x v="2"/>
  </r>
  <r>
    <x v="101"/>
    <n v="24"/>
    <x v="4"/>
    <x v="4"/>
    <n v="1451225"/>
    <n v="50"/>
    <n v="346707"/>
    <x v="1"/>
    <x v="1"/>
    <n v="140"/>
    <x v="2"/>
  </r>
  <r>
    <x v="102"/>
    <n v="22"/>
    <x v="2"/>
    <x v="4"/>
    <n v="641919"/>
    <n v="40"/>
    <n v="84892"/>
    <x v="0"/>
    <x v="0"/>
    <n v="60"/>
    <x v="0"/>
  </r>
  <r>
    <x v="103"/>
    <n v="51"/>
    <x v="0"/>
    <x v="1"/>
    <n v="3956838"/>
    <n v="30"/>
    <n v="371721"/>
    <x v="0"/>
    <x v="0"/>
    <n v="45"/>
    <x v="0"/>
  </r>
  <r>
    <x v="104"/>
    <n v="44"/>
    <x v="3"/>
    <x v="1"/>
    <n v="2221542"/>
    <n v="50"/>
    <n v="434549"/>
    <x v="0"/>
    <x v="0"/>
    <n v="55"/>
    <x v="0"/>
  </r>
  <r>
    <x v="105"/>
    <n v="40"/>
    <x v="0"/>
    <x v="1"/>
    <n v="730812"/>
    <n v="60"/>
    <n v="168555"/>
    <x v="0"/>
    <x v="0"/>
    <n v="55"/>
    <x v="0"/>
  </r>
  <r>
    <x v="106"/>
    <n v="45"/>
    <x v="6"/>
    <x v="3"/>
    <n v="3627421"/>
    <n v="5"/>
    <n v="315429"/>
    <x v="0"/>
    <x v="1"/>
    <n v="70"/>
    <x v="0"/>
  </r>
  <r>
    <x v="107"/>
    <n v="61"/>
    <x v="2"/>
    <x v="0"/>
    <n v="5359717"/>
    <n v="55"/>
    <n v="363748"/>
    <x v="0"/>
    <x v="0"/>
    <n v="55"/>
    <x v="0"/>
  </r>
  <r>
    <x v="108"/>
    <n v="28"/>
    <x v="1"/>
    <x v="5"/>
    <n v="9237982"/>
    <n v="28"/>
    <n v="351827"/>
    <x v="0"/>
    <x v="0"/>
    <n v="80"/>
    <x v="0"/>
  </r>
  <r>
    <x v="109"/>
    <n v="53"/>
    <x v="4"/>
    <x v="0"/>
    <n v="7347416"/>
    <n v="53"/>
    <n v="262006"/>
    <x v="0"/>
    <x v="1"/>
    <n v="85"/>
    <x v="2"/>
  </r>
  <r>
    <x v="110"/>
    <n v="44"/>
    <x v="7"/>
    <x v="3"/>
    <n v="2866765"/>
    <n v="28"/>
    <n v="97346"/>
    <x v="0"/>
    <x v="0"/>
    <n v="40"/>
    <x v="1"/>
  </r>
  <r>
    <x v="111"/>
    <n v="62"/>
    <x v="5"/>
    <x v="1"/>
    <n v="9329043"/>
    <n v="50"/>
    <n v="258491"/>
    <x v="0"/>
    <x v="1"/>
    <n v="85"/>
    <x v="2"/>
  </r>
  <r>
    <x v="112"/>
    <n v="73"/>
    <x v="5"/>
    <x v="5"/>
    <n v="4418725"/>
    <n v="54"/>
    <n v="495011"/>
    <x v="0"/>
    <x v="1"/>
    <n v="120"/>
    <x v="2"/>
  </r>
  <r>
    <x v="113"/>
    <n v="49"/>
    <x v="2"/>
    <x v="2"/>
    <n v="9860490"/>
    <n v="40"/>
    <n v="355323"/>
    <x v="0"/>
    <x v="0"/>
    <n v="85"/>
    <x v="2"/>
  </r>
  <r>
    <x v="114"/>
    <n v="22"/>
    <x v="7"/>
    <x v="5"/>
    <n v="3350766"/>
    <n v="32"/>
    <n v="116211"/>
    <x v="0"/>
    <x v="0"/>
    <n v="90"/>
    <x v="2"/>
  </r>
  <r>
    <x v="115"/>
    <n v="37"/>
    <x v="4"/>
    <x v="5"/>
    <n v="4935017"/>
    <n v="36"/>
    <n v="10322"/>
    <x v="0"/>
    <x v="1"/>
    <n v="100"/>
    <x v="2"/>
  </r>
  <r>
    <x v="116"/>
    <n v="33"/>
    <x v="0"/>
    <x v="4"/>
    <n v="7118732"/>
    <n v="32"/>
    <n v="296072"/>
    <x v="0"/>
    <x v="0"/>
    <n v="70"/>
    <x v="0"/>
  </r>
  <r>
    <x v="117"/>
    <n v="65"/>
    <x v="7"/>
    <x v="3"/>
    <n v="8534615"/>
    <n v="29"/>
    <n v="420725"/>
    <x v="1"/>
    <x v="0"/>
    <n v="90"/>
    <x v="2"/>
  </r>
  <r>
    <x v="118"/>
    <n v="39"/>
    <x v="2"/>
    <x v="2"/>
    <n v="4381983"/>
    <n v="20"/>
    <n v="353106"/>
    <x v="0"/>
    <x v="0"/>
    <n v="75"/>
    <x v="0"/>
  </r>
  <r>
    <x v="119"/>
    <n v="51"/>
    <x v="4"/>
    <x v="2"/>
    <n v="9533986"/>
    <n v="22"/>
    <n v="189450"/>
    <x v="0"/>
    <x v="1"/>
    <n v="105"/>
    <x v="2"/>
  </r>
  <r>
    <x v="120"/>
    <n v="38"/>
    <x v="5"/>
    <x v="5"/>
    <n v="4167786"/>
    <n v="8"/>
    <n v="383160"/>
    <x v="0"/>
    <x v="1"/>
    <n v="100"/>
    <x v="2"/>
  </r>
  <r>
    <x v="121"/>
    <n v="28"/>
    <x v="3"/>
    <x v="4"/>
    <n v="3930331"/>
    <n v="48"/>
    <n v="258859"/>
    <x v="0"/>
    <x v="0"/>
    <n v="70"/>
    <x v="0"/>
  </r>
  <r>
    <x v="122"/>
    <n v="58"/>
    <x v="5"/>
    <x v="0"/>
    <n v="3556752"/>
    <n v="19"/>
    <n v="124266"/>
    <x v="0"/>
    <x v="1"/>
    <n v="75"/>
    <x v="0"/>
  </r>
  <r>
    <x v="123"/>
    <n v="40"/>
    <x v="1"/>
    <x v="3"/>
    <n v="9261299"/>
    <n v="9"/>
    <n v="148818"/>
    <x v="1"/>
    <x v="0"/>
    <n v="80"/>
    <x v="0"/>
  </r>
  <r>
    <x v="124"/>
    <n v="24"/>
    <x v="5"/>
    <x v="3"/>
    <n v="2418618"/>
    <n v="41"/>
    <n v="460323"/>
    <x v="0"/>
    <x v="1"/>
    <n v="90"/>
    <x v="2"/>
  </r>
  <r>
    <x v="125"/>
    <n v="27"/>
    <x v="1"/>
    <x v="1"/>
    <n v="5070422"/>
    <n v="31"/>
    <n v="255984"/>
    <x v="0"/>
    <x v="0"/>
    <n v="55"/>
    <x v="0"/>
  </r>
  <r>
    <x v="126"/>
    <n v="32"/>
    <x v="1"/>
    <x v="5"/>
    <n v="8314965"/>
    <n v="8"/>
    <n v="436025"/>
    <x v="0"/>
    <x v="0"/>
    <n v="70"/>
    <x v="0"/>
  </r>
  <r>
    <x v="127"/>
    <n v="52"/>
    <x v="0"/>
    <x v="1"/>
    <n v="1199411"/>
    <n v="10"/>
    <n v="83222"/>
    <x v="0"/>
    <x v="0"/>
    <n v="35"/>
    <x v="1"/>
  </r>
  <r>
    <x v="128"/>
    <n v="40"/>
    <x v="0"/>
    <x v="4"/>
    <n v="2287287"/>
    <n v="36"/>
    <n v="405788"/>
    <x v="0"/>
    <x v="0"/>
    <n v="70"/>
    <x v="0"/>
  </r>
  <r>
    <x v="129"/>
    <n v="59"/>
    <x v="2"/>
    <x v="1"/>
    <n v="6681684"/>
    <n v="29"/>
    <n v="481317"/>
    <x v="0"/>
    <x v="0"/>
    <n v="45"/>
    <x v="0"/>
  </r>
  <r>
    <x v="130"/>
    <n v="58"/>
    <x v="6"/>
    <x v="5"/>
    <n v="9840019"/>
    <n v="40"/>
    <n v="36578"/>
    <x v="0"/>
    <x v="1"/>
    <n v="100"/>
    <x v="2"/>
  </r>
  <r>
    <x v="131"/>
    <n v="68"/>
    <x v="0"/>
    <x v="4"/>
    <n v="3840415"/>
    <n v="17"/>
    <n v="351254"/>
    <x v="0"/>
    <x v="0"/>
    <n v="60"/>
    <x v="0"/>
  </r>
  <r>
    <x v="132"/>
    <n v="36"/>
    <x v="3"/>
    <x v="1"/>
    <n v="1559379"/>
    <n v="11"/>
    <n v="6402"/>
    <x v="0"/>
    <x v="0"/>
    <n v="25"/>
    <x v="1"/>
  </r>
  <r>
    <x v="133"/>
    <n v="65"/>
    <x v="7"/>
    <x v="5"/>
    <n v="847605"/>
    <n v="15"/>
    <n v="156049"/>
    <x v="0"/>
    <x v="0"/>
    <n v="80"/>
    <x v="0"/>
  </r>
  <r>
    <x v="134"/>
    <n v="65"/>
    <x v="7"/>
    <x v="0"/>
    <n v="4216201"/>
    <n v="60"/>
    <n v="143702"/>
    <x v="0"/>
    <x v="0"/>
    <n v="55"/>
    <x v="0"/>
  </r>
  <r>
    <x v="135"/>
    <n v="61"/>
    <x v="2"/>
    <x v="2"/>
    <n v="2225626"/>
    <n v="35"/>
    <n v="122864"/>
    <x v="0"/>
    <x v="0"/>
    <n v="85"/>
    <x v="2"/>
  </r>
  <r>
    <x v="136"/>
    <n v="38"/>
    <x v="3"/>
    <x v="0"/>
    <n v="1300560"/>
    <n v="11"/>
    <n v="420565"/>
    <x v="0"/>
    <x v="0"/>
    <n v="45"/>
    <x v="0"/>
  </r>
  <r>
    <x v="137"/>
    <n v="68"/>
    <x v="5"/>
    <x v="2"/>
    <n v="2386308"/>
    <n v="30"/>
    <n v="366065"/>
    <x v="0"/>
    <x v="1"/>
    <n v="105"/>
    <x v="2"/>
  </r>
  <r>
    <x v="138"/>
    <n v="46"/>
    <x v="5"/>
    <x v="1"/>
    <n v="9359387"/>
    <n v="32"/>
    <n v="234511"/>
    <x v="0"/>
    <x v="1"/>
    <n v="85"/>
    <x v="2"/>
  </r>
  <r>
    <x v="139"/>
    <n v="23"/>
    <x v="6"/>
    <x v="3"/>
    <n v="5707658"/>
    <n v="39"/>
    <n v="136264"/>
    <x v="1"/>
    <x v="1"/>
    <n v="130"/>
    <x v="2"/>
  </r>
  <r>
    <x v="140"/>
    <n v="35"/>
    <x v="1"/>
    <x v="3"/>
    <n v="4821644"/>
    <n v="37"/>
    <n v="26092"/>
    <x v="0"/>
    <x v="0"/>
    <n v="40"/>
    <x v="1"/>
  </r>
  <r>
    <x v="141"/>
    <n v="32"/>
    <x v="7"/>
    <x v="1"/>
    <n v="7719378"/>
    <n v="59"/>
    <n v="150834"/>
    <x v="0"/>
    <x v="0"/>
    <n v="55"/>
    <x v="0"/>
  </r>
  <r>
    <x v="142"/>
    <n v="58"/>
    <x v="6"/>
    <x v="3"/>
    <n v="8549789"/>
    <n v="6"/>
    <n v="251420"/>
    <x v="0"/>
    <x v="1"/>
    <n v="70"/>
    <x v="0"/>
  </r>
  <r>
    <x v="143"/>
    <n v="42"/>
    <x v="4"/>
    <x v="3"/>
    <n v="2054894"/>
    <n v="55"/>
    <n v="89318"/>
    <x v="0"/>
    <x v="1"/>
    <n v="80"/>
    <x v="0"/>
  </r>
  <r>
    <x v="144"/>
    <n v="65"/>
    <x v="7"/>
    <x v="5"/>
    <n v="7018473"/>
    <n v="53"/>
    <n v="403720"/>
    <x v="0"/>
    <x v="0"/>
    <n v="90"/>
    <x v="2"/>
  </r>
  <r>
    <x v="145"/>
    <n v="50"/>
    <x v="0"/>
    <x v="5"/>
    <n v="4534550"/>
    <n v="21"/>
    <n v="65776"/>
    <x v="0"/>
    <x v="0"/>
    <n v="70"/>
    <x v="0"/>
  </r>
  <r>
    <x v="146"/>
    <n v="46"/>
    <x v="1"/>
    <x v="3"/>
    <n v="9403209"/>
    <n v="30"/>
    <n v="221660"/>
    <x v="0"/>
    <x v="0"/>
    <n v="50"/>
    <x v="0"/>
  </r>
  <r>
    <x v="147"/>
    <n v="54"/>
    <x v="4"/>
    <x v="1"/>
    <n v="8663326"/>
    <n v="41"/>
    <n v="236756"/>
    <x v="0"/>
    <x v="1"/>
    <n v="85"/>
    <x v="2"/>
  </r>
  <r>
    <x v="148"/>
    <n v="34"/>
    <x v="5"/>
    <x v="1"/>
    <n v="2498037"/>
    <n v="60"/>
    <n v="156010"/>
    <x v="0"/>
    <x v="1"/>
    <n v="85"/>
    <x v="2"/>
  </r>
  <r>
    <x v="149"/>
    <n v="65"/>
    <x v="7"/>
    <x v="0"/>
    <n v="784348"/>
    <n v="41"/>
    <n v="324224"/>
    <x v="0"/>
    <x v="0"/>
    <n v="55"/>
    <x v="0"/>
  </r>
  <r>
    <x v="150"/>
    <n v="66"/>
    <x v="3"/>
    <x v="5"/>
    <n v="9541545"/>
    <n v="1"/>
    <n v="294538"/>
    <x v="0"/>
    <x v="0"/>
    <n v="70"/>
    <x v="0"/>
  </r>
  <r>
    <x v="151"/>
    <n v="35"/>
    <x v="0"/>
    <x v="2"/>
    <n v="2270754"/>
    <n v="42"/>
    <n v="441282"/>
    <x v="0"/>
    <x v="0"/>
    <n v="85"/>
    <x v="2"/>
  </r>
  <r>
    <x v="152"/>
    <n v="66"/>
    <x v="5"/>
    <x v="1"/>
    <n v="4887308"/>
    <n v="27"/>
    <n v="442635"/>
    <x v="0"/>
    <x v="1"/>
    <n v="75"/>
    <x v="0"/>
  </r>
  <r>
    <x v="153"/>
    <n v="51"/>
    <x v="2"/>
    <x v="2"/>
    <n v="9548693"/>
    <n v="10"/>
    <n v="206109"/>
    <x v="0"/>
    <x v="0"/>
    <n v="75"/>
    <x v="0"/>
  </r>
  <r>
    <x v="154"/>
    <n v="59"/>
    <x v="3"/>
    <x v="0"/>
    <n v="4934662"/>
    <n v="50"/>
    <n v="419190"/>
    <x v="0"/>
    <x v="0"/>
    <n v="55"/>
    <x v="0"/>
  </r>
  <r>
    <x v="155"/>
    <n v="42"/>
    <x v="5"/>
    <x v="0"/>
    <n v="5045250"/>
    <n v="47"/>
    <n v="161529"/>
    <x v="0"/>
    <x v="1"/>
    <n v="85"/>
    <x v="2"/>
  </r>
  <r>
    <x v="156"/>
    <n v="58"/>
    <x v="7"/>
    <x v="4"/>
    <n v="7791822"/>
    <n v="35"/>
    <n v="258934"/>
    <x v="0"/>
    <x v="0"/>
    <n v="70"/>
    <x v="0"/>
  </r>
  <r>
    <x v="157"/>
    <n v="56"/>
    <x v="6"/>
    <x v="2"/>
    <n v="5698528"/>
    <n v="56"/>
    <n v="103908"/>
    <x v="0"/>
    <x v="1"/>
    <n v="115"/>
    <x v="2"/>
  </r>
  <r>
    <x v="158"/>
    <n v="36"/>
    <x v="6"/>
    <x v="4"/>
    <n v="7191662"/>
    <n v="3"/>
    <n v="171816"/>
    <x v="0"/>
    <x v="1"/>
    <n v="80"/>
    <x v="0"/>
  </r>
  <r>
    <x v="159"/>
    <n v="66"/>
    <x v="6"/>
    <x v="2"/>
    <n v="2851903"/>
    <n v="32"/>
    <n v="24408"/>
    <x v="0"/>
    <x v="1"/>
    <n v="95"/>
    <x v="2"/>
  </r>
  <r>
    <x v="160"/>
    <n v="58"/>
    <x v="4"/>
    <x v="0"/>
    <n v="7687112"/>
    <n v="7"/>
    <n v="280749"/>
    <x v="0"/>
    <x v="1"/>
    <n v="65"/>
    <x v="0"/>
  </r>
  <r>
    <x v="161"/>
    <n v="21"/>
    <x v="3"/>
    <x v="2"/>
    <n v="2889751"/>
    <n v="5"/>
    <n v="251148"/>
    <x v="0"/>
    <x v="0"/>
    <n v="65"/>
    <x v="0"/>
  </r>
  <r>
    <x v="162"/>
    <n v="37"/>
    <x v="4"/>
    <x v="1"/>
    <n v="6968663"/>
    <n v="42"/>
    <n v="47108"/>
    <x v="0"/>
    <x v="1"/>
    <n v="65"/>
    <x v="0"/>
  </r>
  <r>
    <x v="163"/>
    <n v="75"/>
    <x v="6"/>
    <x v="5"/>
    <n v="8486400"/>
    <n v="56"/>
    <n v="288648"/>
    <x v="1"/>
    <x v="1"/>
    <n v="160"/>
    <x v="2"/>
  </r>
  <r>
    <x v="164"/>
    <n v="25"/>
    <x v="2"/>
    <x v="3"/>
    <n v="5121419"/>
    <n v="15"/>
    <n v="396520"/>
    <x v="0"/>
    <x v="0"/>
    <n v="50"/>
    <x v="0"/>
  </r>
  <r>
    <x v="165"/>
    <n v="27"/>
    <x v="0"/>
    <x v="2"/>
    <n v="3091137"/>
    <n v="45"/>
    <n v="162006"/>
    <x v="0"/>
    <x v="0"/>
    <n v="85"/>
    <x v="2"/>
  </r>
  <r>
    <x v="166"/>
    <n v="23"/>
    <x v="4"/>
    <x v="0"/>
    <n v="5221894"/>
    <n v="23"/>
    <n v="201524"/>
    <x v="0"/>
    <x v="1"/>
    <n v="75"/>
    <x v="0"/>
  </r>
  <r>
    <x v="167"/>
    <n v="36"/>
    <x v="6"/>
    <x v="1"/>
    <n v="3320853"/>
    <n v="11"/>
    <n v="96786"/>
    <x v="0"/>
    <x v="1"/>
    <n v="65"/>
    <x v="0"/>
  </r>
  <r>
    <x v="168"/>
    <n v="45"/>
    <x v="2"/>
    <x v="2"/>
    <n v="2701116"/>
    <n v="15"/>
    <n v="246775"/>
    <x v="0"/>
    <x v="0"/>
    <n v="75"/>
    <x v="0"/>
  </r>
  <r>
    <x v="169"/>
    <n v="50"/>
    <x v="5"/>
    <x v="3"/>
    <n v="457662"/>
    <n v="58"/>
    <n v="426859"/>
    <x v="0"/>
    <x v="1"/>
    <n v="90"/>
    <x v="2"/>
  </r>
  <r>
    <x v="170"/>
    <n v="39"/>
    <x v="3"/>
    <x v="0"/>
    <n v="7710995"/>
    <n v="23"/>
    <n v="313056"/>
    <x v="0"/>
    <x v="0"/>
    <n v="45"/>
    <x v="0"/>
  </r>
  <r>
    <x v="171"/>
    <n v="48"/>
    <x v="5"/>
    <x v="2"/>
    <n v="5368760"/>
    <n v="13"/>
    <n v="206690"/>
    <x v="0"/>
    <x v="1"/>
    <n v="105"/>
    <x v="2"/>
  </r>
  <r>
    <x v="172"/>
    <n v="27"/>
    <x v="2"/>
    <x v="2"/>
    <n v="9895270"/>
    <n v="23"/>
    <n v="306366"/>
    <x v="0"/>
    <x v="0"/>
    <n v="75"/>
    <x v="0"/>
  </r>
  <r>
    <x v="173"/>
    <n v="65"/>
    <x v="5"/>
    <x v="0"/>
    <n v="6940518"/>
    <n v="18"/>
    <n v="9245"/>
    <x v="0"/>
    <x v="1"/>
    <n v="55"/>
    <x v="0"/>
  </r>
  <r>
    <x v="174"/>
    <n v="64"/>
    <x v="1"/>
    <x v="1"/>
    <n v="8633700"/>
    <n v="54"/>
    <n v="479037"/>
    <x v="0"/>
    <x v="0"/>
    <n v="55"/>
    <x v="0"/>
  </r>
  <r>
    <x v="175"/>
    <n v="70"/>
    <x v="2"/>
    <x v="1"/>
    <n v="6210964"/>
    <n v="15"/>
    <n v="338771"/>
    <x v="0"/>
    <x v="0"/>
    <n v="45"/>
    <x v="0"/>
  </r>
  <r>
    <x v="176"/>
    <n v="37"/>
    <x v="3"/>
    <x v="3"/>
    <n v="1930140"/>
    <n v="58"/>
    <n v="333968"/>
    <x v="0"/>
    <x v="0"/>
    <n v="60"/>
    <x v="0"/>
  </r>
  <r>
    <x v="177"/>
    <n v="40"/>
    <x v="7"/>
    <x v="0"/>
    <n v="6421355"/>
    <n v="47"/>
    <n v="73897"/>
    <x v="0"/>
    <x v="0"/>
    <n v="45"/>
    <x v="0"/>
  </r>
  <r>
    <x v="178"/>
    <n v="39"/>
    <x v="4"/>
    <x v="3"/>
    <n v="7270985"/>
    <n v="12"/>
    <n v="110274"/>
    <x v="0"/>
    <x v="1"/>
    <n v="80"/>
    <x v="0"/>
  </r>
  <r>
    <x v="179"/>
    <n v="55"/>
    <x v="4"/>
    <x v="1"/>
    <n v="8718719"/>
    <n v="59"/>
    <n v="147882"/>
    <x v="0"/>
    <x v="1"/>
    <n v="85"/>
    <x v="2"/>
  </r>
  <r>
    <x v="180"/>
    <n v="37"/>
    <x v="7"/>
    <x v="5"/>
    <n v="5982698"/>
    <n v="52"/>
    <n v="65382"/>
    <x v="0"/>
    <x v="0"/>
    <n v="80"/>
    <x v="0"/>
  </r>
  <r>
    <x v="181"/>
    <n v="25"/>
    <x v="3"/>
    <x v="4"/>
    <n v="6967458"/>
    <n v="55"/>
    <n v="426835"/>
    <x v="0"/>
    <x v="0"/>
    <n v="70"/>
    <x v="0"/>
  </r>
  <r>
    <x v="182"/>
    <n v="26"/>
    <x v="6"/>
    <x v="0"/>
    <n v="4736878"/>
    <n v="35"/>
    <n v="69796"/>
    <x v="0"/>
    <x v="1"/>
    <n v="75"/>
    <x v="0"/>
  </r>
  <r>
    <x v="183"/>
    <n v="64"/>
    <x v="5"/>
    <x v="1"/>
    <n v="6692547"/>
    <n v="53"/>
    <n v="339783"/>
    <x v="0"/>
    <x v="1"/>
    <n v="85"/>
    <x v="2"/>
  </r>
  <r>
    <x v="184"/>
    <n v="27"/>
    <x v="2"/>
    <x v="2"/>
    <n v="719843"/>
    <n v="40"/>
    <n v="468593"/>
    <x v="0"/>
    <x v="0"/>
    <n v="85"/>
    <x v="2"/>
  </r>
  <r>
    <x v="185"/>
    <n v="41"/>
    <x v="2"/>
    <x v="3"/>
    <n v="1360605"/>
    <n v="41"/>
    <n v="436937"/>
    <x v="0"/>
    <x v="0"/>
    <n v="60"/>
    <x v="0"/>
  </r>
  <r>
    <x v="186"/>
    <n v="65"/>
    <x v="5"/>
    <x v="3"/>
    <n v="7150067"/>
    <n v="8"/>
    <n v="78283"/>
    <x v="1"/>
    <x v="1"/>
    <n v="100"/>
    <x v="2"/>
  </r>
  <r>
    <x v="187"/>
    <n v="23"/>
    <x v="5"/>
    <x v="2"/>
    <n v="2248178"/>
    <n v="7"/>
    <n v="128102"/>
    <x v="0"/>
    <x v="1"/>
    <n v="95"/>
    <x v="2"/>
  </r>
  <r>
    <x v="188"/>
    <n v="29"/>
    <x v="6"/>
    <x v="2"/>
    <n v="6524540"/>
    <n v="43"/>
    <n v="394619"/>
    <x v="0"/>
    <x v="1"/>
    <n v="115"/>
    <x v="2"/>
  </r>
  <r>
    <x v="189"/>
    <n v="55"/>
    <x v="6"/>
    <x v="1"/>
    <n v="2892464"/>
    <n v="57"/>
    <n v="222518"/>
    <x v="0"/>
    <x v="1"/>
    <n v="85"/>
    <x v="2"/>
  </r>
  <r>
    <x v="190"/>
    <n v="74"/>
    <x v="7"/>
    <x v="1"/>
    <n v="7147048"/>
    <n v="18"/>
    <n v="22152"/>
    <x v="0"/>
    <x v="0"/>
    <n v="25"/>
    <x v="1"/>
  </r>
  <r>
    <x v="191"/>
    <n v="34"/>
    <x v="7"/>
    <x v="2"/>
    <n v="4261312"/>
    <n v="55"/>
    <n v="195151"/>
    <x v="0"/>
    <x v="0"/>
    <n v="85"/>
    <x v="2"/>
  </r>
  <r>
    <x v="192"/>
    <n v="64"/>
    <x v="4"/>
    <x v="1"/>
    <n v="6317548"/>
    <n v="4"/>
    <n v="213739"/>
    <x v="0"/>
    <x v="1"/>
    <n v="65"/>
    <x v="0"/>
  </r>
  <r>
    <x v="193"/>
    <n v="28"/>
    <x v="7"/>
    <x v="0"/>
    <n v="3858545"/>
    <n v="42"/>
    <n v="340278"/>
    <x v="0"/>
    <x v="0"/>
    <n v="55"/>
    <x v="0"/>
  </r>
  <r>
    <x v="194"/>
    <n v="22"/>
    <x v="1"/>
    <x v="5"/>
    <n v="4386407"/>
    <n v="9"/>
    <n v="417603"/>
    <x v="0"/>
    <x v="0"/>
    <n v="70"/>
    <x v="0"/>
  </r>
  <r>
    <x v="195"/>
    <n v="25"/>
    <x v="2"/>
    <x v="1"/>
    <n v="3923062"/>
    <n v="53"/>
    <n v="460970"/>
    <x v="0"/>
    <x v="0"/>
    <n v="55"/>
    <x v="0"/>
  </r>
  <r>
    <x v="196"/>
    <n v="70"/>
    <x v="3"/>
    <x v="1"/>
    <n v="347572"/>
    <n v="18"/>
    <n v="455052"/>
    <x v="0"/>
    <x v="0"/>
    <n v="45"/>
    <x v="0"/>
  </r>
  <r>
    <x v="197"/>
    <n v="29"/>
    <x v="5"/>
    <x v="4"/>
    <n v="2144258"/>
    <n v="43"/>
    <n v="459268"/>
    <x v="1"/>
    <x v="1"/>
    <n v="140"/>
    <x v="2"/>
  </r>
  <r>
    <x v="198"/>
    <n v="21"/>
    <x v="4"/>
    <x v="4"/>
    <n v="5731983"/>
    <n v="2"/>
    <n v="96355"/>
    <x v="0"/>
    <x v="1"/>
    <n v="70"/>
    <x v="0"/>
  </r>
  <r>
    <x v="199"/>
    <n v="29"/>
    <x v="6"/>
    <x v="1"/>
    <n v="2206718"/>
    <n v="48"/>
    <n v="38322"/>
    <x v="0"/>
    <x v="1"/>
    <n v="65"/>
    <x v="0"/>
  </r>
  <r>
    <x v="200"/>
    <n v="70"/>
    <x v="4"/>
    <x v="1"/>
    <n v="2129622"/>
    <n v="29"/>
    <n v="269156"/>
    <x v="0"/>
    <x v="1"/>
    <n v="75"/>
    <x v="0"/>
  </r>
  <r>
    <x v="201"/>
    <n v="60"/>
    <x v="1"/>
    <x v="3"/>
    <n v="9048499"/>
    <n v="20"/>
    <n v="245146"/>
    <x v="0"/>
    <x v="0"/>
    <n v="50"/>
    <x v="0"/>
  </r>
  <r>
    <x v="202"/>
    <n v="22"/>
    <x v="1"/>
    <x v="2"/>
    <n v="7038019"/>
    <n v="28"/>
    <n v="364712"/>
    <x v="0"/>
    <x v="0"/>
    <n v="75"/>
    <x v="0"/>
  </r>
  <r>
    <x v="203"/>
    <n v="66"/>
    <x v="7"/>
    <x v="0"/>
    <n v="1655439"/>
    <n v="21"/>
    <n v="323923"/>
    <x v="0"/>
    <x v="0"/>
    <n v="45"/>
    <x v="0"/>
  </r>
  <r>
    <x v="204"/>
    <n v="29"/>
    <x v="5"/>
    <x v="1"/>
    <n v="9499894"/>
    <n v="46"/>
    <n v="175490"/>
    <x v="0"/>
    <x v="1"/>
    <n v="85"/>
    <x v="2"/>
  </r>
  <r>
    <x v="205"/>
    <n v="59"/>
    <x v="5"/>
    <x v="2"/>
    <n v="8781739"/>
    <n v="39"/>
    <n v="230548"/>
    <x v="0"/>
    <x v="1"/>
    <n v="115"/>
    <x v="2"/>
  </r>
  <r>
    <x v="206"/>
    <n v="65"/>
    <x v="0"/>
    <x v="3"/>
    <n v="9549870"/>
    <n v="47"/>
    <n v="458767"/>
    <x v="0"/>
    <x v="0"/>
    <n v="60"/>
    <x v="0"/>
  </r>
  <r>
    <x v="207"/>
    <n v="49"/>
    <x v="2"/>
    <x v="2"/>
    <n v="5986328"/>
    <n v="53"/>
    <n v="242764"/>
    <x v="0"/>
    <x v="0"/>
    <n v="85"/>
    <x v="2"/>
  </r>
  <r>
    <x v="208"/>
    <n v="67"/>
    <x v="0"/>
    <x v="5"/>
    <n v="7459911"/>
    <n v="21"/>
    <n v="353708"/>
    <x v="0"/>
    <x v="0"/>
    <n v="80"/>
    <x v="0"/>
  </r>
  <r>
    <x v="209"/>
    <n v="30"/>
    <x v="7"/>
    <x v="0"/>
    <n v="1830497"/>
    <n v="54"/>
    <n v="49755"/>
    <x v="0"/>
    <x v="0"/>
    <n v="35"/>
    <x v="1"/>
  </r>
  <r>
    <x v="210"/>
    <n v="27"/>
    <x v="4"/>
    <x v="4"/>
    <n v="9634352"/>
    <n v="4"/>
    <n v="312476"/>
    <x v="0"/>
    <x v="1"/>
    <n v="80"/>
    <x v="0"/>
  </r>
  <r>
    <x v="211"/>
    <n v="56"/>
    <x v="4"/>
    <x v="3"/>
    <n v="2350700"/>
    <n v="27"/>
    <n v="190387"/>
    <x v="0"/>
    <x v="1"/>
    <n v="80"/>
    <x v="0"/>
  </r>
  <r>
    <x v="212"/>
    <n v="69"/>
    <x v="6"/>
    <x v="3"/>
    <n v="1163121"/>
    <n v="19"/>
    <n v="319787"/>
    <x v="0"/>
    <x v="1"/>
    <n v="80"/>
    <x v="0"/>
  </r>
  <r>
    <x v="213"/>
    <n v="27"/>
    <x v="2"/>
    <x v="4"/>
    <n v="8389795"/>
    <n v="15"/>
    <n v="449216"/>
    <x v="0"/>
    <x v="0"/>
    <n v="60"/>
    <x v="0"/>
  </r>
  <r>
    <x v="214"/>
    <n v="75"/>
    <x v="4"/>
    <x v="0"/>
    <n v="4973599"/>
    <n v="37"/>
    <n v="123572"/>
    <x v="0"/>
    <x v="1"/>
    <n v="85"/>
    <x v="2"/>
  </r>
  <r>
    <x v="215"/>
    <n v="75"/>
    <x v="1"/>
    <x v="1"/>
    <n v="4787028"/>
    <n v="2"/>
    <n v="99589"/>
    <x v="0"/>
    <x v="0"/>
    <n v="25"/>
    <x v="1"/>
  </r>
  <r>
    <x v="216"/>
    <n v="69"/>
    <x v="5"/>
    <x v="5"/>
    <n v="6189195"/>
    <n v="1"/>
    <n v="100108"/>
    <x v="0"/>
    <x v="1"/>
    <n v="100"/>
    <x v="2"/>
  </r>
  <r>
    <x v="217"/>
    <n v="57"/>
    <x v="6"/>
    <x v="0"/>
    <n v="2680261"/>
    <n v="48"/>
    <n v="336964"/>
    <x v="0"/>
    <x v="1"/>
    <n v="85"/>
    <x v="2"/>
  </r>
  <r>
    <x v="218"/>
    <n v="26"/>
    <x v="2"/>
    <x v="2"/>
    <n v="7343620"/>
    <n v="30"/>
    <n v="183727"/>
    <x v="0"/>
    <x v="0"/>
    <n v="75"/>
    <x v="0"/>
  </r>
  <r>
    <x v="219"/>
    <n v="40"/>
    <x v="4"/>
    <x v="1"/>
    <n v="1725342"/>
    <n v="57"/>
    <n v="32582"/>
    <x v="0"/>
    <x v="1"/>
    <n v="65"/>
    <x v="0"/>
  </r>
  <r>
    <x v="220"/>
    <n v="69"/>
    <x v="1"/>
    <x v="3"/>
    <n v="1668710"/>
    <n v="18"/>
    <n v="237318"/>
    <x v="0"/>
    <x v="0"/>
    <n v="50"/>
    <x v="0"/>
  </r>
  <r>
    <x v="221"/>
    <n v="52"/>
    <x v="7"/>
    <x v="2"/>
    <n v="4882979"/>
    <n v="14"/>
    <n v="400807"/>
    <x v="0"/>
    <x v="0"/>
    <n v="75"/>
    <x v="0"/>
  </r>
  <r>
    <x v="222"/>
    <n v="43"/>
    <x v="6"/>
    <x v="0"/>
    <n v="5052087"/>
    <n v="44"/>
    <n v="360722"/>
    <x v="0"/>
    <x v="1"/>
    <n v="85"/>
    <x v="2"/>
  </r>
  <r>
    <x v="223"/>
    <n v="54"/>
    <x v="5"/>
    <x v="0"/>
    <n v="3999685"/>
    <n v="26"/>
    <n v="319218"/>
    <x v="0"/>
    <x v="1"/>
    <n v="75"/>
    <x v="0"/>
  </r>
  <r>
    <x v="224"/>
    <n v="34"/>
    <x v="5"/>
    <x v="4"/>
    <n v="2602417"/>
    <n v="49"/>
    <n v="138965"/>
    <x v="0"/>
    <x v="1"/>
    <n v="100"/>
    <x v="2"/>
  </r>
  <r>
    <x v="225"/>
    <n v="28"/>
    <x v="1"/>
    <x v="2"/>
    <n v="7525192"/>
    <n v="12"/>
    <n v="72730"/>
    <x v="0"/>
    <x v="0"/>
    <n v="65"/>
    <x v="0"/>
  </r>
  <r>
    <x v="226"/>
    <n v="66"/>
    <x v="2"/>
    <x v="1"/>
    <n v="9673825"/>
    <n v="54"/>
    <n v="355249"/>
    <x v="0"/>
    <x v="0"/>
    <n v="55"/>
    <x v="0"/>
  </r>
  <r>
    <x v="227"/>
    <n v="25"/>
    <x v="6"/>
    <x v="3"/>
    <n v="1009714"/>
    <n v="28"/>
    <n v="14825"/>
    <x v="0"/>
    <x v="1"/>
    <n v="60"/>
    <x v="0"/>
  </r>
  <r>
    <x v="228"/>
    <n v="25"/>
    <x v="4"/>
    <x v="1"/>
    <n v="7502195"/>
    <n v="37"/>
    <n v="217034"/>
    <x v="0"/>
    <x v="1"/>
    <n v="85"/>
    <x v="2"/>
  </r>
  <r>
    <x v="229"/>
    <n v="47"/>
    <x v="5"/>
    <x v="0"/>
    <n v="7095314"/>
    <n v="2"/>
    <n v="175272"/>
    <x v="0"/>
    <x v="1"/>
    <n v="65"/>
    <x v="0"/>
  </r>
  <r>
    <x v="230"/>
    <n v="60"/>
    <x v="7"/>
    <x v="3"/>
    <n v="6370880"/>
    <n v="6"/>
    <n v="233962"/>
    <x v="0"/>
    <x v="0"/>
    <n v="40"/>
    <x v="1"/>
  </r>
  <r>
    <x v="231"/>
    <n v="36"/>
    <x v="6"/>
    <x v="1"/>
    <n v="7018433"/>
    <n v="34"/>
    <n v="46233"/>
    <x v="0"/>
    <x v="1"/>
    <n v="65"/>
    <x v="0"/>
  </r>
  <r>
    <x v="232"/>
    <n v="40"/>
    <x v="4"/>
    <x v="4"/>
    <n v="5887964"/>
    <n v="50"/>
    <n v="93149"/>
    <x v="0"/>
    <x v="1"/>
    <n v="90"/>
    <x v="2"/>
  </r>
  <r>
    <x v="233"/>
    <n v="61"/>
    <x v="0"/>
    <x v="1"/>
    <n v="8855575"/>
    <n v="13"/>
    <n v="479964"/>
    <x v="0"/>
    <x v="0"/>
    <n v="45"/>
    <x v="0"/>
  </r>
  <r>
    <x v="234"/>
    <n v="43"/>
    <x v="3"/>
    <x v="4"/>
    <n v="2024773"/>
    <n v="10"/>
    <n v="139201"/>
    <x v="0"/>
    <x v="0"/>
    <n v="60"/>
    <x v="0"/>
  </r>
  <r>
    <x v="235"/>
    <n v="59"/>
    <x v="3"/>
    <x v="3"/>
    <n v="1564218"/>
    <n v="12"/>
    <n v="410194"/>
    <x v="0"/>
    <x v="0"/>
    <n v="50"/>
    <x v="0"/>
  </r>
  <r>
    <x v="236"/>
    <n v="50"/>
    <x v="7"/>
    <x v="3"/>
    <n v="9770600"/>
    <n v="42"/>
    <n v="338079"/>
    <x v="0"/>
    <x v="0"/>
    <n v="60"/>
    <x v="0"/>
  </r>
  <r>
    <x v="237"/>
    <n v="41"/>
    <x v="4"/>
    <x v="4"/>
    <n v="7677995"/>
    <n v="5"/>
    <n v="250849"/>
    <x v="0"/>
    <x v="1"/>
    <n v="80"/>
    <x v="0"/>
  </r>
  <r>
    <x v="238"/>
    <n v="40"/>
    <x v="5"/>
    <x v="1"/>
    <n v="1242411"/>
    <n v="23"/>
    <n v="270990"/>
    <x v="0"/>
    <x v="1"/>
    <n v="75"/>
    <x v="0"/>
  </r>
  <r>
    <x v="239"/>
    <n v="50"/>
    <x v="7"/>
    <x v="0"/>
    <n v="1254456"/>
    <n v="24"/>
    <n v="441048"/>
    <x v="0"/>
    <x v="0"/>
    <n v="45"/>
    <x v="0"/>
  </r>
  <r>
    <x v="240"/>
    <n v="62"/>
    <x v="0"/>
    <x v="1"/>
    <n v="8807186"/>
    <n v="25"/>
    <n v="247594"/>
    <x v="0"/>
    <x v="0"/>
    <n v="45"/>
    <x v="0"/>
  </r>
  <r>
    <x v="241"/>
    <n v="71"/>
    <x v="1"/>
    <x v="2"/>
    <n v="9890807"/>
    <n v="42"/>
    <n v="103691"/>
    <x v="0"/>
    <x v="0"/>
    <n v="85"/>
    <x v="2"/>
  </r>
  <r>
    <x v="242"/>
    <n v="51"/>
    <x v="3"/>
    <x v="0"/>
    <n v="7858523"/>
    <n v="7"/>
    <n v="430180"/>
    <x v="0"/>
    <x v="0"/>
    <n v="35"/>
    <x v="1"/>
  </r>
  <r>
    <x v="243"/>
    <n v="42"/>
    <x v="0"/>
    <x v="1"/>
    <n v="3195058"/>
    <n v="3"/>
    <n v="134889"/>
    <x v="0"/>
    <x v="0"/>
    <n v="35"/>
    <x v="1"/>
  </r>
  <r>
    <x v="244"/>
    <n v="49"/>
    <x v="3"/>
    <x v="5"/>
    <n v="6555418"/>
    <n v="59"/>
    <n v="153317"/>
    <x v="0"/>
    <x v="0"/>
    <n v="90"/>
    <x v="2"/>
  </r>
  <r>
    <x v="245"/>
    <n v="70"/>
    <x v="4"/>
    <x v="3"/>
    <n v="1178547"/>
    <n v="51"/>
    <n v="335766"/>
    <x v="0"/>
    <x v="1"/>
    <n v="90"/>
    <x v="2"/>
  </r>
  <r>
    <x v="246"/>
    <n v="25"/>
    <x v="4"/>
    <x v="0"/>
    <n v="9661069"/>
    <n v="44"/>
    <n v="207670"/>
    <x v="0"/>
    <x v="1"/>
    <n v="85"/>
    <x v="2"/>
  </r>
  <r>
    <x v="247"/>
    <n v="67"/>
    <x v="3"/>
    <x v="5"/>
    <n v="1667376"/>
    <n v="38"/>
    <n v="352923"/>
    <x v="0"/>
    <x v="0"/>
    <n v="90"/>
    <x v="2"/>
  </r>
  <r>
    <x v="248"/>
    <n v="43"/>
    <x v="5"/>
    <x v="3"/>
    <n v="6875963"/>
    <n v="9"/>
    <n v="316972"/>
    <x v="0"/>
    <x v="1"/>
    <n v="70"/>
    <x v="0"/>
  </r>
  <r>
    <x v="249"/>
    <n v="26"/>
    <x v="5"/>
    <x v="1"/>
    <n v="6619630"/>
    <n v="42"/>
    <n v="420058"/>
    <x v="0"/>
    <x v="1"/>
    <n v="85"/>
    <x v="2"/>
  </r>
  <r>
    <x v="250"/>
    <n v="29"/>
    <x v="0"/>
    <x v="3"/>
    <n v="7403580"/>
    <n v="33"/>
    <n v="194702"/>
    <x v="1"/>
    <x v="0"/>
    <n v="100"/>
    <x v="2"/>
  </r>
  <r>
    <x v="251"/>
    <n v="40"/>
    <x v="3"/>
    <x v="4"/>
    <n v="6033317"/>
    <n v="50"/>
    <n v="259946"/>
    <x v="0"/>
    <x v="0"/>
    <n v="70"/>
    <x v="0"/>
  </r>
  <r>
    <x v="252"/>
    <n v="29"/>
    <x v="3"/>
    <x v="0"/>
    <n v="5262567"/>
    <n v="55"/>
    <n v="418201"/>
    <x v="0"/>
    <x v="0"/>
    <n v="55"/>
    <x v="0"/>
  </r>
  <r>
    <x v="253"/>
    <n v="70"/>
    <x v="1"/>
    <x v="3"/>
    <n v="5949968"/>
    <n v="57"/>
    <n v="406765"/>
    <x v="0"/>
    <x v="0"/>
    <n v="60"/>
    <x v="0"/>
  </r>
  <r>
    <x v="254"/>
    <n v="59"/>
    <x v="6"/>
    <x v="4"/>
    <n v="3022056"/>
    <n v="12"/>
    <n v="440864"/>
    <x v="0"/>
    <x v="1"/>
    <n v="90"/>
    <x v="2"/>
  </r>
  <r>
    <x v="255"/>
    <n v="60"/>
    <x v="3"/>
    <x v="3"/>
    <n v="7642941"/>
    <n v="3"/>
    <n v="220408"/>
    <x v="0"/>
    <x v="0"/>
    <n v="40"/>
    <x v="1"/>
  </r>
  <r>
    <x v="256"/>
    <n v="67"/>
    <x v="2"/>
    <x v="2"/>
    <n v="5080297"/>
    <n v="49"/>
    <n v="397448"/>
    <x v="0"/>
    <x v="0"/>
    <n v="85"/>
    <x v="2"/>
  </r>
  <r>
    <x v="257"/>
    <n v="35"/>
    <x v="2"/>
    <x v="5"/>
    <n v="8168776"/>
    <n v="58"/>
    <n v="442839"/>
    <x v="0"/>
    <x v="0"/>
    <n v="90"/>
    <x v="2"/>
  </r>
  <r>
    <x v="258"/>
    <n v="64"/>
    <x v="7"/>
    <x v="2"/>
    <n v="5027345"/>
    <n v="50"/>
    <n v="205211"/>
    <x v="0"/>
    <x v="0"/>
    <n v="85"/>
    <x v="2"/>
  </r>
  <r>
    <x v="259"/>
    <n v="47"/>
    <x v="3"/>
    <x v="4"/>
    <n v="2621942"/>
    <n v="56"/>
    <n v="136073"/>
    <x v="0"/>
    <x v="0"/>
    <n v="70"/>
    <x v="0"/>
  </r>
  <r>
    <x v="260"/>
    <n v="51"/>
    <x v="4"/>
    <x v="1"/>
    <n v="2021170"/>
    <n v="46"/>
    <n v="448491"/>
    <x v="0"/>
    <x v="1"/>
    <n v="85"/>
    <x v="2"/>
  </r>
  <r>
    <x v="261"/>
    <n v="28"/>
    <x v="5"/>
    <x v="0"/>
    <n v="2989594"/>
    <n v="18"/>
    <n v="240572"/>
    <x v="0"/>
    <x v="1"/>
    <n v="75"/>
    <x v="0"/>
  </r>
  <r>
    <x v="262"/>
    <n v="30"/>
    <x v="6"/>
    <x v="0"/>
    <n v="4025179"/>
    <n v="53"/>
    <n v="241520"/>
    <x v="0"/>
    <x v="1"/>
    <n v="85"/>
    <x v="2"/>
  </r>
  <r>
    <x v="263"/>
    <n v="22"/>
    <x v="6"/>
    <x v="0"/>
    <n v="6951393"/>
    <n v="33"/>
    <n v="201063"/>
    <x v="0"/>
    <x v="1"/>
    <n v="85"/>
    <x v="2"/>
  </r>
  <r>
    <x v="264"/>
    <n v="26"/>
    <x v="4"/>
    <x v="4"/>
    <n v="772908"/>
    <n v="21"/>
    <n v="493020"/>
    <x v="0"/>
    <x v="1"/>
    <n v="90"/>
    <x v="2"/>
  </r>
  <r>
    <x v="265"/>
    <n v="66"/>
    <x v="4"/>
    <x v="4"/>
    <n v="2608538"/>
    <n v="3"/>
    <n v="155407"/>
    <x v="0"/>
    <x v="1"/>
    <n v="80"/>
    <x v="0"/>
  </r>
  <r>
    <x v="266"/>
    <n v="51"/>
    <x v="3"/>
    <x v="3"/>
    <n v="8170361"/>
    <n v="29"/>
    <n v="327619"/>
    <x v="1"/>
    <x v="0"/>
    <n v="90"/>
    <x v="2"/>
  </r>
  <r>
    <x v="267"/>
    <n v="26"/>
    <x v="1"/>
    <x v="5"/>
    <n v="3918086"/>
    <n v="54"/>
    <n v="83391"/>
    <x v="0"/>
    <x v="0"/>
    <n v="80"/>
    <x v="0"/>
  </r>
  <r>
    <x v="268"/>
    <n v="67"/>
    <x v="6"/>
    <x v="0"/>
    <n v="5133542"/>
    <n v="16"/>
    <n v="162889"/>
    <x v="0"/>
    <x v="1"/>
    <n v="75"/>
    <x v="0"/>
  </r>
  <r>
    <x v="269"/>
    <n v="36"/>
    <x v="6"/>
    <x v="3"/>
    <n v="7969093"/>
    <n v="5"/>
    <n v="63121"/>
    <x v="0"/>
    <x v="1"/>
    <n v="60"/>
    <x v="0"/>
  </r>
  <r>
    <x v="270"/>
    <n v="52"/>
    <x v="1"/>
    <x v="3"/>
    <n v="8946569"/>
    <n v="37"/>
    <n v="131845"/>
    <x v="0"/>
    <x v="0"/>
    <n v="60"/>
    <x v="0"/>
  </r>
  <r>
    <x v="271"/>
    <n v="39"/>
    <x v="6"/>
    <x v="0"/>
    <n v="6219270"/>
    <n v="16"/>
    <n v="304192"/>
    <x v="0"/>
    <x v="1"/>
    <n v="75"/>
    <x v="0"/>
  </r>
  <r>
    <x v="272"/>
    <n v="63"/>
    <x v="0"/>
    <x v="1"/>
    <n v="6349927"/>
    <n v="5"/>
    <n v="280806"/>
    <x v="0"/>
    <x v="0"/>
    <n v="35"/>
    <x v="1"/>
  </r>
  <r>
    <x v="273"/>
    <n v="71"/>
    <x v="1"/>
    <x v="2"/>
    <n v="8187557"/>
    <n v="3"/>
    <n v="338274"/>
    <x v="0"/>
    <x v="0"/>
    <n v="65"/>
    <x v="0"/>
  </r>
  <r>
    <x v="274"/>
    <n v="44"/>
    <x v="5"/>
    <x v="3"/>
    <n v="572499"/>
    <n v="23"/>
    <n v="418411"/>
    <x v="0"/>
    <x v="1"/>
    <n v="80"/>
    <x v="0"/>
  </r>
  <r>
    <x v="275"/>
    <n v="36"/>
    <x v="0"/>
    <x v="1"/>
    <n v="5878736"/>
    <n v="9"/>
    <n v="28244"/>
    <x v="0"/>
    <x v="0"/>
    <n v="15"/>
    <x v="1"/>
  </r>
  <r>
    <x v="276"/>
    <n v="42"/>
    <x v="3"/>
    <x v="3"/>
    <n v="8095078"/>
    <n v="45"/>
    <n v="255888"/>
    <x v="0"/>
    <x v="0"/>
    <n v="60"/>
    <x v="0"/>
  </r>
  <r>
    <x v="277"/>
    <n v="72"/>
    <x v="3"/>
    <x v="0"/>
    <n v="7978589"/>
    <n v="3"/>
    <n v="158848"/>
    <x v="0"/>
    <x v="0"/>
    <n v="35"/>
    <x v="1"/>
  </r>
  <r>
    <x v="278"/>
    <n v="71"/>
    <x v="2"/>
    <x v="0"/>
    <n v="5594819"/>
    <n v="60"/>
    <n v="167569"/>
    <x v="0"/>
    <x v="0"/>
    <n v="55"/>
    <x v="0"/>
  </r>
  <r>
    <x v="279"/>
    <n v="73"/>
    <x v="7"/>
    <x v="5"/>
    <n v="914394"/>
    <n v="49"/>
    <n v="344162"/>
    <x v="0"/>
    <x v="0"/>
    <n v="90"/>
    <x v="2"/>
  </r>
  <r>
    <x v="280"/>
    <n v="43"/>
    <x v="1"/>
    <x v="3"/>
    <n v="5868772"/>
    <n v="18"/>
    <n v="70260"/>
    <x v="0"/>
    <x v="0"/>
    <n v="40"/>
    <x v="1"/>
  </r>
  <r>
    <x v="281"/>
    <n v="48"/>
    <x v="6"/>
    <x v="3"/>
    <n v="7677556"/>
    <n v="58"/>
    <n v="207713"/>
    <x v="0"/>
    <x v="1"/>
    <n v="90"/>
    <x v="2"/>
  </r>
  <r>
    <x v="282"/>
    <n v="32"/>
    <x v="7"/>
    <x v="3"/>
    <n v="8647057"/>
    <n v="24"/>
    <n v="489604"/>
    <x v="0"/>
    <x v="0"/>
    <n v="50"/>
    <x v="0"/>
  </r>
  <r>
    <x v="283"/>
    <n v="38"/>
    <x v="0"/>
    <x v="3"/>
    <n v="7421922"/>
    <n v="6"/>
    <n v="230762"/>
    <x v="0"/>
    <x v="0"/>
    <n v="40"/>
    <x v="1"/>
  </r>
  <r>
    <x v="284"/>
    <n v="73"/>
    <x v="3"/>
    <x v="1"/>
    <n v="5228582"/>
    <n v="21"/>
    <n v="58790"/>
    <x v="0"/>
    <x v="0"/>
    <n v="35"/>
    <x v="1"/>
  </r>
  <r>
    <x v="285"/>
    <n v="63"/>
    <x v="5"/>
    <x v="5"/>
    <n v="7781225"/>
    <n v="39"/>
    <n v="381262"/>
    <x v="0"/>
    <x v="1"/>
    <n v="120"/>
    <x v="2"/>
  </r>
  <r>
    <x v="286"/>
    <n v="65"/>
    <x v="7"/>
    <x v="5"/>
    <n v="7801590"/>
    <n v="3"/>
    <n v="386060"/>
    <x v="0"/>
    <x v="0"/>
    <n v="70"/>
    <x v="0"/>
  </r>
  <r>
    <x v="287"/>
    <n v="43"/>
    <x v="6"/>
    <x v="5"/>
    <n v="1262308"/>
    <n v="5"/>
    <n v="356893"/>
    <x v="0"/>
    <x v="1"/>
    <n v="100"/>
    <x v="2"/>
  </r>
  <r>
    <x v="288"/>
    <n v="44"/>
    <x v="3"/>
    <x v="0"/>
    <n v="2695441"/>
    <n v="55"/>
    <n v="323543"/>
    <x v="0"/>
    <x v="0"/>
    <n v="55"/>
    <x v="0"/>
  </r>
  <r>
    <x v="289"/>
    <n v="49"/>
    <x v="1"/>
    <x v="4"/>
    <n v="1427988"/>
    <n v="16"/>
    <n v="413166"/>
    <x v="0"/>
    <x v="0"/>
    <n v="60"/>
    <x v="0"/>
  </r>
  <r>
    <x v="290"/>
    <n v="44"/>
    <x v="6"/>
    <x v="1"/>
    <n v="843335"/>
    <n v="39"/>
    <n v="85445"/>
    <x v="0"/>
    <x v="1"/>
    <n v="75"/>
    <x v="0"/>
  </r>
  <r>
    <x v="291"/>
    <n v="44"/>
    <x v="4"/>
    <x v="2"/>
    <n v="1589923"/>
    <n v="37"/>
    <n v="77191"/>
    <x v="0"/>
    <x v="1"/>
    <n v="105"/>
    <x v="2"/>
  </r>
  <r>
    <x v="292"/>
    <n v="46"/>
    <x v="4"/>
    <x v="3"/>
    <n v="4975638"/>
    <n v="16"/>
    <n v="64479"/>
    <x v="1"/>
    <x v="1"/>
    <n v="110"/>
    <x v="2"/>
  </r>
  <r>
    <x v="293"/>
    <n v="32"/>
    <x v="7"/>
    <x v="1"/>
    <n v="6792570"/>
    <n v="59"/>
    <n v="299478"/>
    <x v="0"/>
    <x v="0"/>
    <n v="55"/>
    <x v="0"/>
  </r>
  <r>
    <x v="294"/>
    <n v="70"/>
    <x v="5"/>
    <x v="3"/>
    <n v="7787220"/>
    <n v="14"/>
    <n v="325799"/>
    <x v="0"/>
    <x v="1"/>
    <n v="80"/>
    <x v="0"/>
  </r>
  <r>
    <x v="295"/>
    <n v="52"/>
    <x v="2"/>
    <x v="0"/>
    <n v="2577144"/>
    <n v="55"/>
    <n v="43824"/>
    <x v="0"/>
    <x v="0"/>
    <n v="35"/>
    <x v="1"/>
  </r>
  <r>
    <x v="296"/>
    <n v="66"/>
    <x v="7"/>
    <x v="0"/>
    <n v="5661793"/>
    <n v="43"/>
    <n v="187150"/>
    <x v="0"/>
    <x v="0"/>
    <n v="55"/>
    <x v="0"/>
  </r>
  <r>
    <x v="297"/>
    <n v="56"/>
    <x v="5"/>
    <x v="5"/>
    <n v="2942499"/>
    <n v="46"/>
    <n v="377015"/>
    <x v="0"/>
    <x v="1"/>
    <n v="120"/>
    <x v="2"/>
  </r>
  <r>
    <x v="298"/>
    <n v="61"/>
    <x v="3"/>
    <x v="5"/>
    <n v="8835505"/>
    <n v="15"/>
    <n v="68628"/>
    <x v="0"/>
    <x v="0"/>
    <n v="70"/>
    <x v="0"/>
  </r>
  <r>
    <x v="299"/>
    <n v="71"/>
    <x v="3"/>
    <x v="4"/>
    <n v="8588312"/>
    <n v="2"/>
    <n v="194213"/>
    <x v="0"/>
    <x v="0"/>
    <n v="50"/>
    <x v="0"/>
  </r>
  <r>
    <x v="300"/>
    <n v="44"/>
    <x v="7"/>
    <x v="1"/>
    <n v="2477199"/>
    <n v="40"/>
    <n v="468599"/>
    <x v="0"/>
    <x v="0"/>
    <n v="55"/>
    <x v="0"/>
  </r>
  <r>
    <x v="301"/>
    <n v="40"/>
    <x v="6"/>
    <x v="3"/>
    <n v="8330667"/>
    <n v="34"/>
    <n v="220374"/>
    <x v="0"/>
    <x v="1"/>
    <n v="90"/>
    <x v="2"/>
  </r>
  <r>
    <x v="302"/>
    <n v="73"/>
    <x v="0"/>
    <x v="4"/>
    <n v="5618841"/>
    <n v="42"/>
    <n v="43883"/>
    <x v="0"/>
    <x v="0"/>
    <n v="50"/>
    <x v="0"/>
  </r>
  <r>
    <x v="303"/>
    <n v="64"/>
    <x v="4"/>
    <x v="4"/>
    <n v="9549336"/>
    <n v="41"/>
    <n v="313169"/>
    <x v="0"/>
    <x v="1"/>
    <n v="100"/>
    <x v="2"/>
  </r>
  <r>
    <x v="304"/>
    <n v="29"/>
    <x v="6"/>
    <x v="1"/>
    <n v="1229673"/>
    <n v="54"/>
    <n v="70096"/>
    <x v="0"/>
    <x v="1"/>
    <n v="75"/>
    <x v="0"/>
  </r>
  <r>
    <x v="305"/>
    <n v="40"/>
    <x v="3"/>
    <x v="4"/>
    <n v="5713349"/>
    <n v="60"/>
    <n v="376894"/>
    <x v="0"/>
    <x v="0"/>
    <n v="70"/>
    <x v="0"/>
  </r>
  <r>
    <x v="306"/>
    <n v="54"/>
    <x v="5"/>
    <x v="0"/>
    <n v="4504459"/>
    <n v="13"/>
    <n v="337952"/>
    <x v="0"/>
    <x v="1"/>
    <n v="75"/>
    <x v="0"/>
  </r>
  <r>
    <x v="307"/>
    <n v="38"/>
    <x v="3"/>
    <x v="3"/>
    <n v="5380553"/>
    <n v="40"/>
    <n v="284696"/>
    <x v="0"/>
    <x v="0"/>
    <n v="60"/>
    <x v="0"/>
  </r>
  <r>
    <x v="308"/>
    <n v="62"/>
    <x v="3"/>
    <x v="1"/>
    <n v="2886950"/>
    <n v="11"/>
    <n v="350365"/>
    <x v="0"/>
    <x v="0"/>
    <n v="45"/>
    <x v="0"/>
  </r>
  <r>
    <x v="309"/>
    <n v="59"/>
    <x v="4"/>
    <x v="1"/>
    <n v="991125"/>
    <n v="53"/>
    <n v="457870"/>
    <x v="1"/>
    <x v="1"/>
    <n v="125"/>
    <x v="2"/>
  </r>
  <r>
    <x v="310"/>
    <n v="23"/>
    <x v="5"/>
    <x v="3"/>
    <n v="3836777"/>
    <n v="50"/>
    <n v="304964"/>
    <x v="0"/>
    <x v="1"/>
    <n v="90"/>
    <x v="2"/>
  </r>
  <r>
    <x v="311"/>
    <n v="61"/>
    <x v="1"/>
    <x v="2"/>
    <n v="9453271"/>
    <n v="19"/>
    <n v="341544"/>
    <x v="0"/>
    <x v="0"/>
    <n v="75"/>
    <x v="0"/>
  </r>
  <r>
    <x v="312"/>
    <n v="51"/>
    <x v="2"/>
    <x v="3"/>
    <n v="7113102"/>
    <n v="20"/>
    <n v="242787"/>
    <x v="0"/>
    <x v="0"/>
    <n v="50"/>
    <x v="0"/>
  </r>
  <r>
    <x v="313"/>
    <n v="24"/>
    <x v="3"/>
    <x v="2"/>
    <n v="7272975"/>
    <n v="31"/>
    <n v="248501"/>
    <x v="0"/>
    <x v="0"/>
    <n v="85"/>
    <x v="2"/>
  </r>
  <r>
    <x v="314"/>
    <n v="59"/>
    <x v="3"/>
    <x v="5"/>
    <n v="5657240"/>
    <n v="47"/>
    <n v="456295"/>
    <x v="0"/>
    <x v="0"/>
    <n v="90"/>
    <x v="2"/>
  </r>
  <r>
    <x v="315"/>
    <n v="46"/>
    <x v="3"/>
    <x v="5"/>
    <n v="8939932"/>
    <n v="36"/>
    <n v="60670"/>
    <x v="0"/>
    <x v="0"/>
    <n v="80"/>
    <x v="0"/>
  </r>
  <r>
    <x v="316"/>
    <n v="50"/>
    <x v="0"/>
    <x v="5"/>
    <n v="7842969"/>
    <n v="16"/>
    <n v="78860"/>
    <x v="0"/>
    <x v="0"/>
    <n v="70"/>
    <x v="0"/>
  </r>
  <r>
    <x v="317"/>
    <n v="39"/>
    <x v="6"/>
    <x v="1"/>
    <n v="7315136"/>
    <n v="16"/>
    <n v="458670"/>
    <x v="0"/>
    <x v="1"/>
    <n v="75"/>
    <x v="0"/>
  </r>
  <r>
    <x v="318"/>
    <n v="73"/>
    <x v="4"/>
    <x v="1"/>
    <n v="5546485"/>
    <n v="13"/>
    <n v="405095"/>
    <x v="0"/>
    <x v="1"/>
    <n v="75"/>
    <x v="0"/>
  </r>
  <r>
    <x v="319"/>
    <n v="53"/>
    <x v="7"/>
    <x v="2"/>
    <n v="5476450"/>
    <n v="32"/>
    <n v="17151"/>
    <x v="0"/>
    <x v="0"/>
    <n v="65"/>
    <x v="0"/>
  </r>
  <r>
    <x v="320"/>
    <n v="46"/>
    <x v="7"/>
    <x v="4"/>
    <n v="3909524"/>
    <n v="38"/>
    <n v="190018"/>
    <x v="1"/>
    <x v="0"/>
    <n v="110"/>
    <x v="2"/>
  </r>
  <r>
    <x v="321"/>
    <n v="39"/>
    <x v="7"/>
    <x v="1"/>
    <n v="8195137"/>
    <n v="19"/>
    <n v="286380"/>
    <x v="1"/>
    <x v="0"/>
    <n v="85"/>
    <x v="2"/>
  </r>
  <r>
    <x v="322"/>
    <n v="27"/>
    <x v="6"/>
    <x v="4"/>
    <n v="4737118"/>
    <n v="47"/>
    <n v="196772"/>
    <x v="0"/>
    <x v="1"/>
    <n v="100"/>
    <x v="2"/>
  </r>
  <r>
    <x v="323"/>
    <n v="44"/>
    <x v="1"/>
    <x v="2"/>
    <n v="1158283"/>
    <n v="37"/>
    <n v="299553"/>
    <x v="0"/>
    <x v="0"/>
    <n v="85"/>
    <x v="2"/>
  </r>
  <r>
    <x v="324"/>
    <n v="56"/>
    <x v="5"/>
    <x v="0"/>
    <n v="6781857"/>
    <n v="33"/>
    <n v="241115"/>
    <x v="0"/>
    <x v="1"/>
    <n v="85"/>
    <x v="2"/>
  </r>
  <r>
    <x v="325"/>
    <n v="38"/>
    <x v="0"/>
    <x v="4"/>
    <n v="1922046"/>
    <n v="26"/>
    <n v="200663"/>
    <x v="0"/>
    <x v="0"/>
    <n v="60"/>
    <x v="0"/>
  </r>
  <r>
    <x v="326"/>
    <n v="42"/>
    <x v="4"/>
    <x v="4"/>
    <n v="3639637"/>
    <n v="39"/>
    <n v="271926"/>
    <x v="0"/>
    <x v="1"/>
    <n v="100"/>
    <x v="2"/>
  </r>
  <r>
    <x v="327"/>
    <n v="23"/>
    <x v="1"/>
    <x v="0"/>
    <n v="2599088"/>
    <n v="46"/>
    <n v="179609"/>
    <x v="0"/>
    <x v="0"/>
    <n v="55"/>
    <x v="0"/>
  </r>
  <r>
    <x v="328"/>
    <n v="54"/>
    <x v="7"/>
    <x v="4"/>
    <n v="8948751"/>
    <n v="9"/>
    <n v="176948"/>
    <x v="0"/>
    <x v="0"/>
    <n v="50"/>
    <x v="0"/>
  </r>
  <r>
    <x v="329"/>
    <n v="41"/>
    <x v="3"/>
    <x v="2"/>
    <n v="5320319"/>
    <n v="38"/>
    <n v="181356"/>
    <x v="0"/>
    <x v="0"/>
    <n v="85"/>
    <x v="2"/>
  </r>
  <r>
    <x v="330"/>
    <n v="53"/>
    <x v="7"/>
    <x v="3"/>
    <n v="9744301"/>
    <n v="20"/>
    <n v="253980"/>
    <x v="0"/>
    <x v="0"/>
    <n v="50"/>
    <x v="0"/>
  </r>
  <r>
    <x v="331"/>
    <n v="44"/>
    <x v="4"/>
    <x v="3"/>
    <n v="2138859"/>
    <n v="27"/>
    <n v="311028"/>
    <x v="0"/>
    <x v="1"/>
    <n v="80"/>
    <x v="0"/>
  </r>
  <r>
    <x v="332"/>
    <n v="67"/>
    <x v="1"/>
    <x v="1"/>
    <n v="8262302"/>
    <n v="17"/>
    <n v="348718"/>
    <x v="0"/>
    <x v="0"/>
    <n v="45"/>
    <x v="0"/>
  </r>
  <r>
    <x v="333"/>
    <n v="70"/>
    <x v="2"/>
    <x v="3"/>
    <n v="1161596"/>
    <n v="38"/>
    <n v="256893"/>
    <x v="0"/>
    <x v="0"/>
    <n v="60"/>
    <x v="0"/>
  </r>
  <r>
    <x v="334"/>
    <n v="61"/>
    <x v="6"/>
    <x v="4"/>
    <n v="4363384"/>
    <n v="3"/>
    <n v="305191"/>
    <x v="0"/>
    <x v="1"/>
    <n v="80"/>
    <x v="0"/>
  </r>
  <r>
    <x v="335"/>
    <n v="28"/>
    <x v="2"/>
    <x v="0"/>
    <n v="7699399"/>
    <n v="21"/>
    <n v="224561"/>
    <x v="0"/>
    <x v="0"/>
    <n v="45"/>
    <x v="0"/>
  </r>
  <r>
    <x v="336"/>
    <n v="65"/>
    <x v="2"/>
    <x v="2"/>
    <n v="8719134"/>
    <n v="50"/>
    <n v="325590"/>
    <x v="0"/>
    <x v="0"/>
    <n v="85"/>
    <x v="2"/>
  </r>
  <r>
    <x v="337"/>
    <n v="75"/>
    <x v="1"/>
    <x v="3"/>
    <n v="2616639"/>
    <n v="34"/>
    <n v="113706"/>
    <x v="0"/>
    <x v="0"/>
    <n v="60"/>
    <x v="0"/>
  </r>
  <r>
    <x v="338"/>
    <n v="63"/>
    <x v="7"/>
    <x v="1"/>
    <n v="6622070"/>
    <n v="21"/>
    <n v="95797"/>
    <x v="0"/>
    <x v="0"/>
    <n v="35"/>
    <x v="1"/>
  </r>
  <r>
    <x v="339"/>
    <n v="55"/>
    <x v="4"/>
    <x v="1"/>
    <n v="6243949"/>
    <n v="44"/>
    <n v="409744"/>
    <x v="0"/>
    <x v="1"/>
    <n v="85"/>
    <x v="2"/>
  </r>
  <r>
    <x v="340"/>
    <n v="64"/>
    <x v="5"/>
    <x v="1"/>
    <n v="8423194"/>
    <n v="13"/>
    <n v="134247"/>
    <x v="0"/>
    <x v="1"/>
    <n v="75"/>
    <x v="0"/>
  </r>
  <r>
    <x v="341"/>
    <n v="40"/>
    <x v="2"/>
    <x v="5"/>
    <n v="5148684"/>
    <n v="46"/>
    <n v="113673"/>
    <x v="0"/>
    <x v="0"/>
    <n v="90"/>
    <x v="2"/>
  </r>
  <r>
    <x v="342"/>
    <n v="52"/>
    <x v="4"/>
    <x v="2"/>
    <n v="6151946"/>
    <n v="36"/>
    <n v="494527"/>
    <x v="0"/>
    <x v="1"/>
    <n v="115"/>
    <x v="2"/>
  </r>
  <r>
    <x v="343"/>
    <n v="67"/>
    <x v="5"/>
    <x v="5"/>
    <n v="2344708"/>
    <n v="37"/>
    <n v="359744"/>
    <x v="0"/>
    <x v="1"/>
    <n v="120"/>
    <x v="2"/>
  </r>
  <r>
    <x v="344"/>
    <n v="46"/>
    <x v="4"/>
    <x v="4"/>
    <n v="5172986"/>
    <n v="3"/>
    <n v="155801"/>
    <x v="0"/>
    <x v="1"/>
    <n v="80"/>
    <x v="0"/>
  </r>
  <r>
    <x v="345"/>
    <n v="26"/>
    <x v="4"/>
    <x v="2"/>
    <n v="4602415"/>
    <n v="48"/>
    <n v="256175"/>
    <x v="0"/>
    <x v="1"/>
    <n v="115"/>
    <x v="2"/>
  </r>
  <r>
    <x v="346"/>
    <n v="73"/>
    <x v="5"/>
    <x v="1"/>
    <n v="4857052"/>
    <n v="9"/>
    <n v="62266"/>
    <x v="0"/>
    <x v="1"/>
    <n v="55"/>
    <x v="0"/>
  </r>
  <r>
    <x v="347"/>
    <n v="58"/>
    <x v="2"/>
    <x v="4"/>
    <n v="1151702"/>
    <n v="43"/>
    <n v="479577"/>
    <x v="0"/>
    <x v="0"/>
    <n v="70"/>
    <x v="0"/>
  </r>
  <r>
    <x v="348"/>
    <n v="61"/>
    <x v="2"/>
    <x v="0"/>
    <n v="1981042"/>
    <n v="27"/>
    <n v="178168"/>
    <x v="0"/>
    <x v="0"/>
    <n v="45"/>
    <x v="0"/>
  </r>
  <r>
    <x v="349"/>
    <n v="27"/>
    <x v="3"/>
    <x v="0"/>
    <n v="9533383"/>
    <n v="60"/>
    <n v="87806"/>
    <x v="0"/>
    <x v="0"/>
    <n v="45"/>
    <x v="0"/>
  </r>
  <r>
    <x v="350"/>
    <n v="51"/>
    <x v="7"/>
    <x v="3"/>
    <n v="3646315"/>
    <n v="49"/>
    <n v="155599"/>
    <x v="0"/>
    <x v="0"/>
    <n v="60"/>
    <x v="0"/>
  </r>
  <r>
    <x v="351"/>
    <n v="62"/>
    <x v="1"/>
    <x v="0"/>
    <n v="9932359"/>
    <n v="15"/>
    <n v="285573"/>
    <x v="0"/>
    <x v="0"/>
    <n v="45"/>
    <x v="0"/>
  </r>
  <r>
    <x v="352"/>
    <n v="75"/>
    <x v="1"/>
    <x v="4"/>
    <n v="7310946"/>
    <n v="57"/>
    <n v="444146"/>
    <x v="0"/>
    <x v="0"/>
    <n v="70"/>
    <x v="0"/>
  </r>
  <r>
    <x v="353"/>
    <n v="23"/>
    <x v="6"/>
    <x v="2"/>
    <n v="3425790"/>
    <n v="60"/>
    <n v="397693"/>
    <x v="0"/>
    <x v="1"/>
    <n v="115"/>
    <x v="2"/>
  </r>
  <r>
    <x v="354"/>
    <n v="39"/>
    <x v="1"/>
    <x v="0"/>
    <n v="5306190"/>
    <n v="37"/>
    <n v="321031"/>
    <x v="0"/>
    <x v="0"/>
    <n v="55"/>
    <x v="0"/>
  </r>
  <r>
    <x v="355"/>
    <n v="42"/>
    <x v="5"/>
    <x v="2"/>
    <n v="9415069"/>
    <n v="34"/>
    <n v="263952"/>
    <x v="0"/>
    <x v="1"/>
    <n v="115"/>
    <x v="2"/>
  </r>
  <r>
    <x v="356"/>
    <n v="29"/>
    <x v="7"/>
    <x v="5"/>
    <n v="3534838"/>
    <n v="52"/>
    <n v="64059"/>
    <x v="0"/>
    <x v="0"/>
    <n v="80"/>
    <x v="0"/>
  </r>
  <r>
    <x v="357"/>
    <n v="67"/>
    <x v="7"/>
    <x v="3"/>
    <n v="4616188"/>
    <n v="46"/>
    <n v="102621"/>
    <x v="1"/>
    <x v="0"/>
    <n v="100"/>
    <x v="2"/>
  </r>
  <r>
    <x v="358"/>
    <n v="42"/>
    <x v="5"/>
    <x v="1"/>
    <n v="3540708"/>
    <n v="12"/>
    <n v="325316"/>
    <x v="0"/>
    <x v="1"/>
    <n v="75"/>
    <x v="0"/>
  </r>
  <r>
    <x v="359"/>
    <n v="46"/>
    <x v="6"/>
    <x v="1"/>
    <n v="5801696"/>
    <n v="6"/>
    <n v="215152"/>
    <x v="0"/>
    <x v="1"/>
    <n v="65"/>
    <x v="0"/>
  </r>
  <r>
    <x v="360"/>
    <n v="32"/>
    <x v="3"/>
    <x v="2"/>
    <n v="5729135"/>
    <n v="60"/>
    <n v="135048"/>
    <x v="1"/>
    <x v="0"/>
    <n v="125"/>
    <x v="2"/>
  </r>
  <r>
    <x v="361"/>
    <n v="45"/>
    <x v="2"/>
    <x v="2"/>
    <n v="4779421"/>
    <n v="22"/>
    <n v="163306"/>
    <x v="0"/>
    <x v="0"/>
    <n v="75"/>
    <x v="0"/>
  </r>
  <r>
    <x v="362"/>
    <n v="57"/>
    <x v="1"/>
    <x v="5"/>
    <n v="6332283"/>
    <n v="45"/>
    <n v="128890"/>
    <x v="0"/>
    <x v="0"/>
    <n v="90"/>
    <x v="2"/>
  </r>
  <r>
    <x v="363"/>
    <n v="28"/>
    <x v="7"/>
    <x v="5"/>
    <n v="2979603"/>
    <n v="26"/>
    <n v="364700"/>
    <x v="0"/>
    <x v="0"/>
    <n v="80"/>
    <x v="0"/>
  </r>
  <r>
    <x v="364"/>
    <n v="66"/>
    <x v="5"/>
    <x v="3"/>
    <n v="2269909"/>
    <n v="41"/>
    <n v="485316"/>
    <x v="0"/>
    <x v="1"/>
    <n v="90"/>
    <x v="2"/>
  </r>
  <r>
    <x v="365"/>
    <n v="44"/>
    <x v="2"/>
    <x v="4"/>
    <n v="2540912"/>
    <n v="31"/>
    <n v="85313"/>
    <x v="0"/>
    <x v="0"/>
    <n v="60"/>
    <x v="0"/>
  </r>
  <r>
    <x v="366"/>
    <n v="59"/>
    <x v="4"/>
    <x v="2"/>
    <n v="9514625"/>
    <n v="59"/>
    <n v="251849"/>
    <x v="0"/>
    <x v="1"/>
    <n v="115"/>
    <x v="2"/>
  </r>
  <r>
    <x v="367"/>
    <n v="72"/>
    <x v="2"/>
    <x v="4"/>
    <n v="1673555"/>
    <n v="34"/>
    <n v="239224"/>
    <x v="0"/>
    <x v="0"/>
    <n v="70"/>
    <x v="0"/>
  </r>
  <r>
    <x v="368"/>
    <n v="44"/>
    <x v="0"/>
    <x v="1"/>
    <n v="2182551"/>
    <n v="4"/>
    <n v="439516"/>
    <x v="0"/>
    <x v="0"/>
    <n v="35"/>
    <x v="1"/>
  </r>
  <r>
    <x v="369"/>
    <n v="53"/>
    <x v="2"/>
    <x v="1"/>
    <n v="9303663"/>
    <n v="10"/>
    <n v="91264"/>
    <x v="0"/>
    <x v="0"/>
    <n v="35"/>
    <x v="1"/>
  </r>
  <r>
    <x v="370"/>
    <n v="54"/>
    <x v="7"/>
    <x v="0"/>
    <n v="3746065"/>
    <n v="46"/>
    <n v="310737"/>
    <x v="0"/>
    <x v="0"/>
    <n v="55"/>
    <x v="0"/>
  </r>
  <r>
    <x v="371"/>
    <n v="53"/>
    <x v="7"/>
    <x v="0"/>
    <n v="7907331"/>
    <n v="9"/>
    <n v="274089"/>
    <x v="0"/>
    <x v="0"/>
    <n v="35"/>
    <x v="1"/>
  </r>
  <r>
    <x v="372"/>
    <n v="57"/>
    <x v="1"/>
    <x v="1"/>
    <n v="8057420"/>
    <n v="44"/>
    <n v="428056"/>
    <x v="0"/>
    <x v="0"/>
    <n v="55"/>
    <x v="0"/>
  </r>
  <r>
    <x v="373"/>
    <n v="22"/>
    <x v="6"/>
    <x v="5"/>
    <n v="350591"/>
    <n v="48"/>
    <n v="119243"/>
    <x v="0"/>
    <x v="1"/>
    <n v="120"/>
    <x v="2"/>
  </r>
  <r>
    <x v="374"/>
    <n v="23"/>
    <x v="6"/>
    <x v="5"/>
    <n v="1369713"/>
    <n v="35"/>
    <n v="36591"/>
    <x v="0"/>
    <x v="1"/>
    <n v="100"/>
    <x v="2"/>
  </r>
  <r>
    <x v="375"/>
    <n v="25"/>
    <x v="7"/>
    <x v="0"/>
    <n v="5116582"/>
    <n v="27"/>
    <n v="99362"/>
    <x v="0"/>
    <x v="0"/>
    <n v="35"/>
    <x v="1"/>
  </r>
  <r>
    <x v="376"/>
    <n v="70"/>
    <x v="6"/>
    <x v="5"/>
    <n v="6716943"/>
    <n v="29"/>
    <n v="460931"/>
    <x v="0"/>
    <x v="1"/>
    <n v="110"/>
    <x v="2"/>
  </r>
  <r>
    <x v="377"/>
    <n v="45"/>
    <x v="6"/>
    <x v="0"/>
    <n v="9347957"/>
    <n v="9"/>
    <n v="347640"/>
    <x v="0"/>
    <x v="1"/>
    <n v="65"/>
    <x v="0"/>
  </r>
  <r>
    <x v="378"/>
    <n v="28"/>
    <x v="3"/>
    <x v="1"/>
    <n v="6894429"/>
    <n v="34"/>
    <n v="71766"/>
    <x v="0"/>
    <x v="0"/>
    <n v="45"/>
    <x v="0"/>
  </r>
  <r>
    <x v="379"/>
    <n v="35"/>
    <x v="1"/>
    <x v="0"/>
    <n v="5305700"/>
    <n v="30"/>
    <n v="358107"/>
    <x v="0"/>
    <x v="0"/>
    <n v="45"/>
    <x v="0"/>
  </r>
  <r>
    <x v="380"/>
    <n v="48"/>
    <x v="6"/>
    <x v="4"/>
    <n v="4452562"/>
    <n v="30"/>
    <n v="186487"/>
    <x v="0"/>
    <x v="1"/>
    <n v="90"/>
    <x v="2"/>
  </r>
  <r>
    <x v="381"/>
    <n v="33"/>
    <x v="0"/>
    <x v="0"/>
    <n v="7333690"/>
    <n v="40"/>
    <n v="406632"/>
    <x v="0"/>
    <x v="0"/>
    <n v="55"/>
    <x v="0"/>
  </r>
  <r>
    <x v="382"/>
    <n v="22"/>
    <x v="2"/>
    <x v="4"/>
    <n v="1428954"/>
    <n v="7"/>
    <n v="316397"/>
    <x v="1"/>
    <x v="0"/>
    <n v="90"/>
    <x v="2"/>
  </r>
  <r>
    <x v="383"/>
    <n v="59"/>
    <x v="1"/>
    <x v="4"/>
    <n v="1042169"/>
    <n v="26"/>
    <n v="235142"/>
    <x v="0"/>
    <x v="0"/>
    <n v="60"/>
    <x v="0"/>
  </r>
  <r>
    <x v="384"/>
    <n v="34"/>
    <x v="1"/>
    <x v="4"/>
    <n v="8753969"/>
    <n v="19"/>
    <n v="127768"/>
    <x v="0"/>
    <x v="0"/>
    <n v="60"/>
    <x v="0"/>
  </r>
  <r>
    <x v="385"/>
    <n v="67"/>
    <x v="4"/>
    <x v="1"/>
    <n v="5679867"/>
    <n v="16"/>
    <n v="163211"/>
    <x v="0"/>
    <x v="1"/>
    <n v="75"/>
    <x v="0"/>
  </r>
  <r>
    <x v="386"/>
    <n v="63"/>
    <x v="2"/>
    <x v="2"/>
    <n v="5341569"/>
    <n v="18"/>
    <n v="36959"/>
    <x v="0"/>
    <x v="0"/>
    <n v="55"/>
    <x v="0"/>
  </r>
  <r>
    <x v="387"/>
    <n v="58"/>
    <x v="3"/>
    <x v="3"/>
    <n v="7467236"/>
    <n v="36"/>
    <n v="264848"/>
    <x v="1"/>
    <x v="0"/>
    <n v="100"/>
    <x v="2"/>
  </r>
  <r>
    <x v="388"/>
    <n v="43"/>
    <x v="6"/>
    <x v="1"/>
    <n v="5647476"/>
    <n v="45"/>
    <n v="223274"/>
    <x v="0"/>
    <x v="1"/>
    <n v="85"/>
    <x v="2"/>
  </r>
  <r>
    <x v="389"/>
    <n v="40"/>
    <x v="6"/>
    <x v="4"/>
    <n v="9324938"/>
    <n v="31"/>
    <n v="131336"/>
    <x v="0"/>
    <x v="1"/>
    <n v="100"/>
    <x v="2"/>
  </r>
  <r>
    <x v="390"/>
    <n v="40"/>
    <x v="3"/>
    <x v="2"/>
    <n v="1266769"/>
    <n v="36"/>
    <n v="221361"/>
    <x v="0"/>
    <x v="0"/>
    <n v="85"/>
    <x v="2"/>
  </r>
  <r>
    <x v="391"/>
    <n v="56"/>
    <x v="3"/>
    <x v="2"/>
    <n v="4374489"/>
    <n v="17"/>
    <n v="111607"/>
    <x v="0"/>
    <x v="0"/>
    <n v="75"/>
    <x v="0"/>
  </r>
  <r>
    <x v="392"/>
    <n v="26"/>
    <x v="7"/>
    <x v="5"/>
    <n v="1851288"/>
    <n v="35"/>
    <n v="384891"/>
    <x v="0"/>
    <x v="0"/>
    <n v="90"/>
    <x v="2"/>
  </r>
  <r>
    <x v="393"/>
    <n v="24"/>
    <x v="5"/>
    <x v="2"/>
    <n v="963497"/>
    <n v="56"/>
    <n v="43159"/>
    <x v="0"/>
    <x v="1"/>
    <n v="95"/>
    <x v="2"/>
  </r>
  <r>
    <x v="394"/>
    <n v="69"/>
    <x v="2"/>
    <x v="2"/>
    <n v="3804577"/>
    <n v="56"/>
    <n v="480546"/>
    <x v="0"/>
    <x v="0"/>
    <n v="85"/>
    <x v="2"/>
  </r>
  <r>
    <x v="395"/>
    <n v="21"/>
    <x v="2"/>
    <x v="4"/>
    <n v="2268239"/>
    <n v="48"/>
    <n v="400486"/>
    <x v="0"/>
    <x v="0"/>
    <n v="70"/>
    <x v="0"/>
  </r>
  <r>
    <x v="396"/>
    <n v="36"/>
    <x v="2"/>
    <x v="2"/>
    <n v="4315307"/>
    <n v="36"/>
    <n v="173618"/>
    <x v="0"/>
    <x v="0"/>
    <n v="85"/>
    <x v="2"/>
  </r>
  <r>
    <x v="397"/>
    <n v="45"/>
    <x v="7"/>
    <x v="1"/>
    <n v="6327375"/>
    <n v="20"/>
    <n v="142133"/>
    <x v="0"/>
    <x v="0"/>
    <n v="45"/>
    <x v="0"/>
  </r>
  <r>
    <x v="398"/>
    <n v="52"/>
    <x v="7"/>
    <x v="0"/>
    <n v="8176742"/>
    <n v="49"/>
    <n v="445260"/>
    <x v="0"/>
    <x v="0"/>
    <n v="55"/>
    <x v="0"/>
  </r>
  <r>
    <x v="399"/>
    <n v="34"/>
    <x v="4"/>
    <x v="5"/>
    <n v="7244595"/>
    <n v="3"/>
    <n v="299924"/>
    <x v="0"/>
    <x v="1"/>
    <n v="100"/>
    <x v="2"/>
  </r>
  <r>
    <x v="400"/>
    <n v="68"/>
    <x v="3"/>
    <x v="0"/>
    <n v="4675063"/>
    <n v="36"/>
    <n v="495082"/>
    <x v="0"/>
    <x v="0"/>
    <n v="55"/>
    <x v="0"/>
  </r>
  <r>
    <x v="401"/>
    <n v="67"/>
    <x v="6"/>
    <x v="5"/>
    <n v="2857039"/>
    <n v="13"/>
    <n v="177944"/>
    <x v="0"/>
    <x v="1"/>
    <n v="110"/>
    <x v="2"/>
  </r>
  <r>
    <x v="402"/>
    <n v="57"/>
    <x v="2"/>
    <x v="2"/>
    <n v="9538248"/>
    <n v="42"/>
    <n v="499647"/>
    <x v="0"/>
    <x v="0"/>
    <n v="85"/>
    <x v="2"/>
  </r>
  <r>
    <x v="403"/>
    <n v="37"/>
    <x v="7"/>
    <x v="3"/>
    <n v="8530828"/>
    <n v="30"/>
    <n v="93202"/>
    <x v="0"/>
    <x v="0"/>
    <n v="40"/>
    <x v="1"/>
  </r>
  <r>
    <x v="404"/>
    <n v="43"/>
    <x v="3"/>
    <x v="4"/>
    <n v="9469525"/>
    <n v="32"/>
    <n v="101494"/>
    <x v="0"/>
    <x v="0"/>
    <n v="70"/>
    <x v="0"/>
  </r>
  <r>
    <x v="405"/>
    <n v="55"/>
    <x v="1"/>
    <x v="1"/>
    <n v="867468"/>
    <n v="54"/>
    <n v="448913"/>
    <x v="0"/>
    <x v="0"/>
    <n v="55"/>
    <x v="0"/>
  </r>
  <r>
    <x v="406"/>
    <n v="73"/>
    <x v="1"/>
    <x v="0"/>
    <n v="7218793"/>
    <n v="9"/>
    <n v="446736"/>
    <x v="0"/>
    <x v="0"/>
    <n v="35"/>
    <x v="1"/>
  </r>
  <r>
    <x v="407"/>
    <n v="25"/>
    <x v="3"/>
    <x v="0"/>
    <n v="3969507"/>
    <n v="33"/>
    <n v="244080"/>
    <x v="0"/>
    <x v="0"/>
    <n v="55"/>
    <x v="0"/>
  </r>
  <r>
    <x v="408"/>
    <n v="60"/>
    <x v="7"/>
    <x v="3"/>
    <n v="8484838"/>
    <n v="2"/>
    <n v="8466"/>
    <x v="0"/>
    <x v="0"/>
    <n v="20"/>
    <x v="1"/>
  </r>
  <r>
    <x v="409"/>
    <n v="47"/>
    <x v="1"/>
    <x v="0"/>
    <n v="9182154"/>
    <n v="47"/>
    <n v="149043"/>
    <x v="0"/>
    <x v="0"/>
    <n v="55"/>
    <x v="0"/>
  </r>
  <r>
    <x v="410"/>
    <n v="39"/>
    <x v="1"/>
    <x v="1"/>
    <n v="7523819"/>
    <n v="52"/>
    <n v="497679"/>
    <x v="0"/>
    <x v="0"/>
    <n v="55"/>
    <x v="0"/>
  </r>
  <r>
    <x v="411"/>
    <n v="27"/>
    <x v="0"/>
    <x v="1"/>
    <n v="2798085"/>
    <n v="16"/>
    <n v="105627"/>
    <x v="0"/>
    <x v="0"/>
    <n v="45"/>
    <x v="0"/>
  </r>
  <r>
    <x v="412"/>
    <n v="37"/>
    <x v="4"/>
    <x v="5"/>
    <n v="6958817"/>
    <n v="6"/>
    <n v="200586"/>
    <x v="0"/>
    <x v="1"/>
    <n v="100"/>
    <x v="2"/>
  </r>
  <r>
    <x v="413"/>
    <n v="50"/>
    <x v="2"/>
    <x v="3"/>
    <n v="4089255"/>
    <n v="20"/>
    <n v="363634"/>
    <x v="0"/>
    <x v="0"/>
    <n v="50"/>
    <x v="0"/>
  </r>
  <r>
    <x v="414"/>
    <n v="26"/>
    <x v="1"/>
    <x v="0"/>
    <n v="7099441"/>
    <n v="25"/>
    <n v="202745"/>
    <x v="0"/>
    <x v="0"/>
    <n v="45"/>
    <x v="0"/>
  </r>
  <r>
    <x v="415"/>
    <n v="24"/>
    <x v="1"/>
    <x v="3"/>
    <n v="3175339"/>
    <n v="6"/>
    <n v="267069"/>
    <x v="0"/>
    <x v="0"/>
    <n v="40"/>
    <x v="1"/>
  </r>
  <r>
    <x v="416"/>
    <n v="62"/>
    <x v="4"/>
    <x v="1"/>
    <n v="1899906"/>
    <n v="58"/>
    <n v="281907"/>
    <x v="0"/>
    <x v="1"/>
    <n v="85"/>
    <x v="2"/>
  </r>
  <r>
    <x v="417"/>
    <n v="35"/>
    <x v="2"/>
    <x v="3"/>
    <n v="9809060"/>
    <n v="31"/>
    <n v="147131"/>
    <x v="1"/>
    <x v="0"/>
    <n v="100"/>
    <x v="2"/>
  </r>
  <r>
    <x v="418"/>
    <n v="25"/>
    <x v="5"/>
    <x v="1"/>
    <n v="9754126"/>
    <n v="43"/>
    <n v="22250"/>
    <x v="0"/>
    <x v="1"/>
    <n v="65"/>
    <x v="0"/>
  </r>
  <r>
    <x v="419"/>
    <n v="75"/>
    <x v="4"/>
    <x v="0"/>
    <n v="3775536"/>
    <n v="38"/>
    <n v="80597"/>
    <x v="0"/>
    <x v="1"/>
    <n v="75"/>
    <x v="0"/>
  </r>
  <r>
    <x v="420"/>
    <n v="66"/>
    <x v="6"/>
    <x v="0"/>
    <n v="5321033"/>
    <n v="11"/>
    <n v="300676"/>
    <x v="0"/>
    <x v="1"/>
    <n v="75"/>
    <x v="0"/>
  </r>
  <r>
    <x v="421"/>
    <n v="74"/>
    <x v="6"/>
    <x v="3"/>
    <n v="9369132"/>
    <n v="22"/>
    <n v="206245"/>
    <x v="0"/>
    <x v="1"/>
    <n v="80"/>
    <x v="0"/>
  </r>
  <r>
    <x v="422"/>
    <n v="29"/>
    <x v="0"/>
    <x v="1"/>
    <n v="6102559"/>
    <n v="4"/>
    <n v="56215"/>
    <x v="0"/>
    <x v="0"/>
    <n v="25"/>
    <x v="1"/>
  </r>
  <r>
    <x v="423"/>
    <n v="74"/>
    <x v="0"/>
    <x v="5"/>
    <n v="6955572"/>
    <n v="50"/>
    <n v="176115"/>
    <x v="1"/>
    <x v="0"/>
    <n v="130"/>
    <x v="2"/>
  </r>
  <r>
    <x v="424"/>
    <n v="38"/>
    <x v="7"/>
    <x v="2"/>
    <n v="4127527"/>
    <n v="23"/>
    <n v="294951"/>
    <x v="0"/>
    <x v="0"/>
    <n v="75"/>
    <x v="0"/>
  </r>
  <r>
    <x v="425"/>
    <n v="48"/>
    <x v="3"/>
    <x v="3"/>
    <n v="6676562"/>
    <n v="6"/>
    <n v="409838"/>
    <x v="0"/>
    <x v="0"/>
    <n v="40"/>
    <x v="1"/>
  </r>
  <r>
    <x v="426"/>
    <n v="72"/>
    <x v="2"/>
    <x v="3"/>
    <n v="1533237"/>
    <n v="6"/>
    <n v="145494"/>
    <x v="0"/>
    <x v="0"/>
    <n v="40"/>
    <x v="1"/>
  </r>
  <r>
    <x v="427"/>
    <n v="66"/>
    <x v="3"/>
    <x v="3"/>
    <n v="6836772"/>
    <n v="21"/>
    <n v="194110"/>
    <x v="0"/>
    <x v="0"/>
    <n v="50"/>
    <x v="0"/>
  </r>
  <r>
    <x v="428"/>
    <n v="21"/>
    <x v="5"/>
    <x v="2"/>
    <n v="6338413"/>
    <n v="49"/>
    <n v="146435"/>
    <x v="0"/>
    <x v="1"/>
    <n v="115"/>
    <x v="2"/>
  </r>
  <r>
    <x v="429"/>
    <n v="26"/>
    <x v="3"/>
    <x v="2"/>
    <n v="7830347"/>
    <n v="36"/>
    <n v="295843"/>
    <x v="0"/>
    <x v="0"/>
    <n v="85"/>
    <x v="2"/>
  </r>
  <r>
    <x v="430"/>
    <n v="27"/>
    <x v="1"/>
    <x v="0"/>
    <n v="6237696"/>
    <n v="36"/>
    <n v="53792"/>
    <x v="0"/>
    <x v="0"/>
    <n v="45"/>
    <x v="0"/>
  </r>
  <r>
    <x v="431"/>
    <n v="71"/>
    <x v="4"/>
    <x v="2"/>
    <n v="507041"/>
    <n v="19"/>
    <n v="221955"/>
    <x v="0"/>
    <x v="1"/>
    <n v="105"/>
    <x v="2"/>
  </r>
  <r>
    <x v="432"/>
    <n v="26"/>
    <x v="2"/>
    <x v="1"/>
    <n v="9042683"/>
    <n v="11"/>
    <n v="364302"/>
    <x v="0"/>
    <x v="0"/>
    <n v="45"/>
    <x v="0"/>
  </r>
  <r>
    <x v="433"/>
    <n v="29"/>
    <x v="5"/>
    <x v="5"/>
    <n v="4803118"/>
    <n v="32"/>
    <n v="81511"/>
    <x v="0"/>
    <x v="1"/>
    <n v="110"/>
    <x v="2"/>
  </r>
  <r>
    <x v="434"/>
    <n v="48"/>
    <x v="5"/>
    <x v="2"/>
    <n v="5329008"/>
    <n v="31"/>
    <n v="415342"/>
    <x v="0"/>
    <x v="1"/>
    <n v="115"/>
    <x v="2"/>
  </r>
  <r>
    <x v="435"/>
    <n v="37"/>
    <x v="2"/>
    <x v="3"/>
    <n v="8618184"/>
    <n v="39"/>
    <n v="328312"/>
    <x v="0"/>
    <x v="0"/>
    <n v="60"/>
    <x v="0"/>
  </r>
  <r>
    <x v="436"/>
    <n v="27"/>
    <x v="3"/>
    <x v="5"/>
    <n v="413537"/>
    <n v="26"/>
    <n v="179177"/>
    <x v="0"/>
    <x v="0"/>
    <n v="80"/>
    <x v="0"/>
  </r>
  <r>
    <x v="437"/>
    <n v="45"/>
    <x v="4"/>
    <x v="2"/>
    <n v="5915941"/>
    <n v="28"/>
    <n v="432544"/>
    <x v="0"/>
    <x v="1"/>
    <n v="105"/>
    <x v="2"/>
  </r>
  <r>
    <x v="438"/>
    <n v="62"/>
    <x v="3"/>
    <x v="5"/>
    <n v="5679868"/>
    <n v="39"/>
    <n v="369533"/>
    <x v="0"/>
    <x v="0"/>
    <n v="90"/>
    <x v="2"/>
  </r>
  <r>
    <x v="439"/>
    <n v="41"/>
    <x v="3"/>
    <x v="2"/>
    <n v="5654241"/>
    <n v="19"/>
    <n v="390285"/>
    <x v="0"/>
    <x v="0"/>
    <n v="75"/>
    <x v="0"/>
  </r>
  <r>
    <x v="440"/>
    <n v="52"/>
    <x v="2"/>
    <x v="5"/>
    <n v="6609161"/>
    <n v="18"/>
    <n v="433078"/>
    <x v="0"/>
    <x v="0"/>
    <n v="80"/>
    <x v="0"/>
  </r>
  <r>
    <x v="441"/>
    <n v="44"/>
    <x v="0"/>
    <x v="1"/>
    <n v="3652088"/>
    <n v="38"/>
    <n v="291066"/>
    <x v="0"/>
    <x v="0"/>
    <n v="55"/>
    <x v="0"/>
  </r>
  <r>
    <x v="442"/>
    <n v="70"/>
    <x v="1"/>
    <x v="3"/>
    <n v="8044735"/>
    <n v="46"/>
    <n v="114916"/>
    <x v="0"/>
    <x v="0"/>
    <n v="60"/>
    <x v="0"/>
  </r>
  <r>
    <x v="443"/>
    <n v="39"/>
    <x v="0"/>
    <x v="2"/>
    <n v="8676917"/>
    <n v="9"/>
    <n v="337050"/>
    <x v="0"/>
    <x v="0"/>
    <n v="65"/>
    <x v="0"/>
  </r>
  <r>
    <x v="444"/>
    <n v="37"/>
    <x v="3"/>
    <x v="3"/>
    <n v="7398909"/>
    <n v="51"/>
    <n v="202651"/>
    <x v="0"/>
    <x v="0"/>
    <n v="60"/>
    <x v="0"/>
  </r>
  <r>
    <x v="445"/>
    <n v="59"/>
    <x v="7"/>
    <x v="1"/>
    <n v="7024393"/>
    <n v="35"/>
    <n v="270610"/>
    <x v="0"/>
    <x v="0"/>
    <n v="55"/>
    <x v="0"/>
  </r>
  <r>
    <x v="446"/>
    <n v="65"/>
    <x v="6"/>
    <x v="1"/>
    <n v="916817"/>
    <n v="51"/>
    <n v="193496"/>
    <x v="0"/>
    <x v="1"/>
    <n v="85"/>
    <x v="2"/>
  </r>
  <r>
    <x v="447"/>
    <n v="72"/>
    <x v="0"/>
    <x v="0"/>
    <n v="4464624"/>
    <n v="43"/>
    <n v="353491"/>
    <x v="0"/>
    <x v="0"/>
    <n v="55"/>
    <x v="0"/>
  </r>
  <r>
    <x v="448"/>
    <n v="62"/>
    <x v="1"/>
    <x v="1"/>
    <n v="7004473"/>
    <n v="49"/>
    <n v="178852"/>
    <x v="0"/>
    <x v="0"/>
    <n v="55"/>
    <x v="0"/>
  </r>
  <r>
    <x v="449"/>
    <n v="48"/>
    <x v="0"/>
    <x v="0"/>
    <n v="1954343"/>
    <n v="17"/>
    <n v="121392"/>
    <x v="0"/>
    <x v="0"/>
    <n v="45"/>
    <x v="0"/>
  </r>
  <r>
    <x v="450"/>
    <n v="54"/>
    <x v="2"/>
    <x v="2"/>
    <n v="6576684"/>
    <n v="26"/>
    <n v="247778"/>
    <x v="0"/>
    <x v="0"/>
    <n v="75"/>
    <x v="0"/>
  </r>
  <r>
    <x v="451"/>
    <n v="58"/>
    <x v="3"/>
    <x v="5"/>
    <n v="712092"/>
    <n v="31"/>
    <n v="59813"/>
    <x v="0"/>
    <x v="0"/>
    <n v="80"/>
    <x v="0"/>
  </r>
  <r>
    <x v="452"/>
    <n v="26"/>
    <x v="0"/>
    <x v="3"/>
    <n v="2676915"/>
    <n v="23"/>
    <n v="168520"/>
    <x v="0"/>
    <x v="0"/>
    <n v="50"/>
    <x v="0"/>
  </r>
  <r>
    <x v="453"/>
    <n v="71"/>
    <x v="2"/>
    <x v="1"/>
    <n v="8402153"/>
    <n v="23"/>
    <n v="254646"/>
    <x v="0"/>
    <x v="0"/>
    <n v="45"/>
    <x v="0"/>
  </r>
  <r>
    <x v="454"/>
    <n v="67"/>
    <x v="7"/>
    <x v="5"/>
    <n v="1426998"/>
    <n v="20"/>
    <n v="28426"/>
    <x v="0"/>
    <x v="0"/>
    <n v="60"/>
    <x v="0"/>
  </r>
  <r>
    <x v="455"/>
    <n v="28"/>
    <x v="1"/>
    <x v="5"/>
    <n v="2134801"/>
    <n v="44"/>
    <n v="424456"/>
    <x v="0"/>
    <x v="0"/>
    <n v="90"/>
    <x v="2"/>
  </r>
  <r>
    <x v="456"/>
    <n v="68"/>
    <x v="2"/>
    <x v="1"/>
    <n v="3226839"/>
    <n v="36"/>
    <n v="88957"/>
    <x v="0"/>
    <x v="0"/>
    <n v="45"/>
    <x v="0"/>
  </r>
  <r>
    <x v="457"/>
    <n v="48"/>
    <x v="7"/>
    <x v="4"/>
    <n v="7095568"/>
    <n v="41"/>
    <n v="101705"/>
    <x v="0"/>
    <x v="0"/>
    <n v="70"/>
    <x v="0"/>
  </r>
  <r>
    <x v="458"/>
    <n v="63"/>
    <x v="6"/>
    <x v="2"/>
    <n v="789765"/>
    <n v="48"/>
    <n v="326968"/>
    <x v="0"/>
    <x v="1"/>
    <n v="115"/>
    <x v="2"/>
  </r>
  <r>
    <x v="459"/>
    <n v="49"/>
    <x v="6"/>
    <x v="2"/>
    <n v="374659"/>
    <n v="46"/>
    <n v="117615"/>
    <x v="0"/>
    <x v="1"/>
    <n v="115"/>
    <x v="2"/>
  </r>
  <r>
    <x v="460"/>
    <n v="69"/>
    <x v="0"/>
    <x v="1"/>
    <n v="2007116"/>
    <n v="52"/>
    <n v="462168"/>
    <x v="0"/>
    <x v="0"/>
    <n v="55"/>
    <x v="0"/>
  </r>
  <r>
    <x v="461"/>
    <n v="44"/>
    <x v="4"/>
    <x v="4"/>
    <n v="7976422"/>
    <n v="8"/>
    <n v="142548"/>
    <x v="0"/>
    <x v="1"/>
    <n v="80"/>
    <x v="0"/>
  </r>
  <r>
    <x v="462"/>
    <n v="52"/>
    <x v="4"/>
    <x v="1"/>
    <n v="6820284"/>
    <n v="40"/>
    <n v="210806"/>
    <x v="0"/>
    <x v="1"/>
    <n v="85"/>
    <x v="2"/>
  </r>
  <r>
    <x v="463"/>
    <n v="43"/>
    <x v="4"/>
    <x v="2"/>
    <n v="3194531"/>
    <n v="53"/>
    <n v="358154"/>
    <x v="0"/>
    <x v="1"/>
    <n v="115"/>
    <x v="2"/>
  </r>
  <r>
    <x v="464"/>
    <n v="40"/>
    <x v="0"/>
    <x v="3"/>
    <n v="2547270"/>
    <n v="21"/>
    <n v="66793"/>
    <x v="0"/>
    <x v="0"/>
    <n v="40"/>
    <x v="1"/>
  </r>
  <r>
    <x v="465"/>
    <n v="28"/>
    <x v="3"/>
    <x v="5"/>
    <n v="2671602"/>
    <n v="33"/>
    <n v="208666"/>
    <x v="0"/>
    <x v="0"/>
    <n v="90"/>
    <x v="2"/>
  </r>
  <r>
    <x v="466"/>
    <n v="29"/>
    <x v="6"/>
    <x v="2"/>
    <n v="3416429"/>
    <n v="32"/>
    <n v="338185"/>
    <x v="0"/>
    <x v="1"/>
    <n v="115"/>
    <x v="2"/>
  </r>
  <r>
    <x v="467"/>
    <n v="62"/>
    <x v="3"/>
    <x v="1"/>
    <n v="3099538"/>
    <n v="32"/>
    <n v="156432"/>
    <x v="0"/>
    <x v="0"/>
    <n v="55"/>
    <x v="0"/>
  </r>
  <r>
    <x v="468"/>
    <n v="41"/>
    <x v="7"/>
    <x v="1"/>
    <n v="1199447"/>
    <n v="56"/>
    <n v="193239"/>
    <x v="0"/>
    <x v="0"/>
    <n v="55"/>
    <x v="0"/>
  </r>
  <r>
    <x v="469"/>
    <n v="52"/>
    <x v="3"/>
    <x v="4"/>
    <n v="6741514"/>
    <n v="36"/>
    <n v="269995"/>
    <x v="0"/>
    <x v="0"/>
    <n v="70"/>
    <x v="0"/>
  </r>
  <r>
    <x v="470"/>
    <n v="47"/>
    <x v="7"/>
    <x v="2"/>
    <n v="7746596"/>
    <n v="32"/>
    <n v="92688"/>
    <x v="0"/>
    <x v="0"/>
    <n v="75"/>
    <x v="0"/>
  </r>
  <r>
    <x v="471"/>
    <n v="22"/>
    <x v="2"/>
    <x v="5"/>
    <n v="848532"/>
    <n v="18"/>
    <n v="122882"/>
    <x v="0"/>
    <x v="0"/>
    <n v="80"/>
    <x v="0"/>
  </r>
  <r>
    <x v="472"/>
    <n v="31"/>
    <x v="7"/>
    <x v="1"/>
    <n v="8609978"/>
    <n v="36"/>
    <n v="272809"/>
    <x v="0"/>
    <x v="0"/>
    <n v="55"/>
    <x v="0"/>
  </r>
  <r>
    <x v="473"/>
    <n v="28"/>
    <x v="5"/>
    <x v="1"/>
    <n v="6454919"/>
    <n v="35"/>
    <n v="436285"/>
    <x v="0"/>
    <x v="1"/>
    <n v="85"/>
    <x v="2"/>
  </r>
  <r>
    <x v="474"/>
    <n v="69"/>
    <x v="7"/>
    <x v="1"/>
    <n v="3966525"/>
    <n v="28"/>
    <n v="58695"/>
    <x v="0"/>
    <x v="0"/>
    <n v="35"/>
    <x v="1"/>
  </r>
  <r>
    <x v="475"/>
    <n v="62"/>
    <x v="2"/>
    <x v="5"/>
    <n v="840736"/>
    <n v="29"/>
    <n v="142790"/>
    <x v="0"/>
    <x v="0"/>
    <n v="80"/>
    <x v="0"/>
  </r>
  <r>
    <x v="476"/>
    <n v="73"/>
    <x v="0"/>
    <x v="2"/>
    <n v="2269410"/>
    <n v="50"/>
    <n v="430663"/>
    <x v="0"/>
    <x v="0"/>
    <n v="85"/>
    <x v="2"/>
  </r>
  <r>
    <x v="477"/>
    <n v="72"/>
    <x v="4"/>
    <x v="3"/>
    <n v="7483451"/>
    <n v="11"/>
    <n v="328040"/>
    <x v="0"/>
    <x v="1"/>
    <n v="80"/>
    <x v="0"/>
  </r>
  <r>
    <x v="478"/>
    <n v="34"/>
    <x v="2"/>
    <x v="0"/>
    <n v="9864260"/>
    <n v="23"/>
    <n v="284068"/>
    <x v="0"/>
    <x v="0"/>
    <n v="45"/>
    <x v="0"/>
  </r>
  <r>
    <x v="479"/>
    <n v="55"/>
    <x v="3"/>
    <x v="5"/>
    <n v="5209595"/>
    <n v="19"/>
    <n v="305278"/>
    <x v="0"/>
    <x v="0"/>
    <n v="80"/>
    <x v="0"/>
  </r>
  <r>
    <x v="480"/>
    <n v="75"/>
    <x v="0"/>
    <x v="4"/>
    <n v="7205438"/>
    <n v="59"/>
    <n v="36082"/>
    <x v="0"/>
    <x v="0"/>
    <n v="50"/>
    <x v="0"/>
  </r>
  <r>
    <x v="481"/>
    <n v="62"/>
    <x v="3"/>
    <x v="3"/>
    <n v="2526183"/>
    <n v="16"/>
    <n v="81673"/>
    <x v="0"/>
    <x v="0"/>
    <n v="40"/>
    <x v="1"/>
  </r>
  <r>
    <x v="482"/>
    <n v="74"/>
    <x v="2"/>
    <x v="3"/>
    <n v="6888425"/>
    <n v="32"/>
    <n v="79538"/>
    <x v="0"/>
    <x v="0"/>
    <n v="50"/>
    <x v="0"/>
  </r>
  <r>
    <x v="483"/>
    <n v="38"/>
    <x v="6"/>
    <x v="2"/>
    <n v="7883162"/>
    <n v="5"/>
    <n v="337203"/>
    <x v="0"/>
    <x v="1"/>
    <n v="95"/>
    <x v="2"/>
  </r>
  <r>
    <x v="484"/>
    <n v="70"/>
    <x v="0"/>
    <x v="2"/>
    <n v="8950558"/>
    <n v="48"/>
    <n v="150870"/>
    <x v="0"/>
    <x v="0"/>
    <n v="85"/>
    <x v="2"/>
  </r>
  <r>
    <x v="485"/>
    <n v="44"/>
    <x v="7"/>
    <x v="2"/>
    <n v="5791002"/>
    <n v="38"/>
    <n v="6296"/>
    <x v="0"/>
    <x v="0"/>
    <n v="65"/>
    <x v="0"/>
  </r>
  <r>
    <x v="486"/>
    <n v="75"/>
    <x v="0"/>
    <x v="3"/>
    <n v="7991502"/>
    <n v="41"/>
    <n v="353202"/>
    <x v="0"/>
    <x v="0"/>
    <n v="60"/>
    <x v="0"/>
  </r>
  <r>
    <x v="487"/>
    <n v="75"/>
    <x v="0"/>
    <x v="1"/>
    <n v="6972565"/>
    <n v="14"/>
    <n v="230256"/>
    <x v="0"/>
    <x v="0"/>
    <n v="45"/>
    <x v="0"/>
  </r>
  <r>
    <x v="488"/>
    <n v="52"/>
    <x v="5"/>
    <x v="5"/>
    <n v="5057902"/>
    <n v="22"/>
    <n v="291948"/>
    <x v="0"/>
    <x v="1"/>
    <n v="110"/>
    <x v="2"/>
  </r>
  <r>
    <x v="489"/>
    <n v="57"/>
    <x v="7"/>
    <x v="5"/>
    <n v="1112172"/>
    <n v="3"/>
    <n v="57205"/>
    <x v="0"/>
    <x v="0"/>
    <n v="60"/>
    <x v="0"/>
  </r>
  <r>
    <x v="490"/>
    <n v="74"/>
    <x v="7"/>
    <x v="0"/>
    <n v="2384353"/>
    <n v="60"/>
    <n v="454656"/>
    <x v="0"/>
    <x v="0"/>
    <n v="55"/>
    <x v="0"/>
  </r>
  <r>
    <x v="491"/>
    <n v="50"/>
    <x v="1"/>
    <x v="2"/>
    <n v="3694336"/>
    <n v="45"/>
    <n v="481791"/>
    <x v="0"/>
    <x v="0"/>
    <n v="85"/>
    <x v="2"/>
  </r>
  <r>
    <x v="492"/>
    <n v="62"/>
    <x v="5"/>
    <x v="4"/>
    <n v="4897283"/>
    <n v="6"/>
    <n v="348192"/>
    <x v="0"/>
    <x v="1"/>
    <n v="80"/>
    <x v="0"/>
  </r>
  <r>
    <x v="493"/>
    <n v="26"/>
    <x v="4"/>
    <x v="3"/>
    <n v="3077050"/>
    <n v="4"/>
    <n v="212797"/>
    <x v="0"/>
    <x v="1"/>
    <n v="70"/>
    <x v="0"/>
  </r>
  <r>
    <x v="494"/>
    <n v="67"/>
    <x v="2"/>
    <x v="2"/>
    <n v="1830068"/>
    <n v="46"/>
    <n v="54903"/>
    <x v="1"/>
    <x v="0"/>
    <n v="115"/>
    <x v="2"/>
  </r>
  <r>
    <x v="495"/>
    <n v="51"/>
    <x v="0"/>
    <x v="4"/>
    <n v="4094852"/>
    <n v="34"/>
    <n v="361506"/>
    <x v="0"/>
    <x v="0"/>
    <n v="70"/>
    <x v="0"/>
  </r>
  <r>
    <x v="496"/>
    <n v="21"/>
    <x v="4"/>
    <x v="0"/>
    <n v="7385252"/>
    <n v="45"/>
    <n v="74297"/>
    <x v="0"/>
    <x v="1"/>
    <n v="75"/>
    <x v="0"/>
  </r>
  <r>
    <x v="497"/>
    <n v="35"/>
    <x v="6"/>
    <x v="0"/>
    <n v="2018442"/>
    <n v="7"/>
    <n v="169286"/>
    <x v="0"/>
    <x v="1"/>
    <n v="65"/>
    <x v="0"/>
  </r>
  <r>
    <x v="498"/>
    <n v="40"/>
    <x v="3"/>
    <x v="2"/>
    <n v="2533823"/>
    <n v="42"/>
    <n v="360014"/>
    <x v="0"/>
    <x v="0"/>
    <n v="85"/>
    <x v="2"/>
  </r>
  <r>
    <x v="499"/>
    <n v="54"/>
    <x v="1"/>
    <x v="1"/>
    <n v="3053418"/>
    <n v="29"/>
    <n v="189123"/>
    <x v="0"/>
    <x v="0"/>
    <n v="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196CA-A00C-44D7-B804-71479FE07C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8:F17" firstHeaderRow="1" firstDataRow="1" firstDataCol="1" rowPageCount="1" colPageCount="1"/>
  <pivotFields count="11">
    <pivotField dataField="1" showAll="0"/>
    <pivotField showAll="0"/>
    <pivotField axis="axisRow" showAll="0" sortType="ascending">
      <items count="9">
        <item x="1"/>
        <item x="4"/>
        <item x="5"/>
        <item x="2"/>
        <item x="6"/>
        <item x="3"/>
        <item x="7"/>
        <item x="0"/>
        <item t="default"/>
      </items>
      <autoSortScope>
        <pivotArea dataOnly="0" outline="0" fieldPosition="0">
          <references count="1">
            <reference field="4294967294" count="1" selected="0">
              <x v="0"/>
            </reference>
          </references>
        </pivotArea>
      </autoSortScope>
    </pivotField>
    <pivotField showAll="0">
      <items count="7">
        <item x="4"/>
        <item x="2"/>
        <item x="3"/>
        <item x="5"/>
        <item x="0"/>
        <item x="1"/>
        <item t="default"/>
      </items>
    </pivotField>
    <pivotField showAll="0"/>
    <pivotField showAll="0"/>
    <pivotField showAll="0"/>
    <pivotField showAll="0">
      <items count="3">
        <item x="0"/>
        <item x="1"/>
        <item t="default"/>
      </items>
    </pivotField>
    <pivotField showAll="0">
      <items count="3">
        <item x="0"/>
        <item x="1"/>
        <item t="default"/>
      </items>
    </pivotField>
    <pivotField showAll="0"/>
    <pivotField axis="axisPage" multipleItemSelectionAllowed="1" showAll="0">
      <items count="4">
        <item x="2"/>
        <item x="1"/>
        <item x="0"/>
        <item t="default"/>
      </items>
    </pivotField>
  </pivotFields>
  <rowFields count="1">
    <field x="2"/>
  </rowFields>
  <rowItems count="9">
    <i>
      <x v="7"/>
    </i>
    <i>
      <x/>
    </i>
    <i>
      <x v="1"/>
    </i>
    <i>
      <x v="2"/>
    </i>
    <i>
      <x v="4"/>
    </i>
    <i>
      <x v="3"/>
    </i>
    <i>
      <x v="6"/>
    </i>
    <i>
      <x v="5"/>
    </i>
    <i t="grand">
      <x/>
    </i>
  </rowItems>
  <colItems count="1">
    <i/>
  </colItems>
  <pageFields count="1">
    <pageField fld="10" hier="-1"/>
  </pageFields>
  <dataFields count="1">
    <dataField name="Count of Customer_ID" fld="0" subtotal="count" baseField="0" baseItem="0"/>
  </dataFields>
  <chartFormats count="7">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7"/>
          </reference>
        </references>
      </pivotArea>
    </chartFormat>
    <chartFormat chart="12"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2957ED-3C6D-42B4-9F4B-7B57516CC4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B12" firstHeaderRow="1" firstDataRow="1" firstDataCol="1"/>
  <pivotFields count="11">
    <pivotField dataField="1" showAll="0"/>
    <pivotField showAll="0"/>
    <pivotField showAll="0">
      <items count="9">
        <item x="1"/>
        <item x="4"/>
        <item x="5"/>
        <item x="2"/>
        <item x="6"/>
        <item x="3"/>
        <item x="7"/>
        <item x="0"/>
        <item t="default"/>
      </items>
    </pivotField>
    <pivotField showAll="0">
      <items count="7">
        <item x="4"/>
        <item x="2"/>
        <item x="3"/>
        <item x="5"/>
        <item x="0"/>
        <item x="1"/>
        <item t="default"/>
      </items>
    </pivotField>
    <pivotField showAll="0"/>
    <pivotField showAll="0"/>
    <pivotField showAll="0"/>
    <pivotField showAll="0">
      <items count="3">
        <item x="0"/>
        <item x="1"/>
        <item t="default"/>
      </items>
    </pivotField>
    <pivotField showAll="0"/>
    <pivotField showAll="0"/>
    <pivotField axis="axisRow" showAll="0">
      <items count="4">
        <item x="2"/>
        <item x="1"/>
        <item x="0"/>
        <item t="default"/>
      </items>
    </pivotField>
  </pivotFields>
  <rowFields count="1">
    <field x="10"/>
  </rowFields>
  <rowItems count="4">
    <i>
      <x/>
    </i>
    <i>
      <x v="1"/>
    </i>
    <i>
      <x v="2"/>
    </i>
    <i t="grand">
      <x/>
    </i>
  </rowItems>
  <colItems count="1">
    <i/>
  </colItems>
  <dataFields count="1">
    <dataField name="Count of Customer_ID" fld="0" subtotal="count" baseField="0" baseItem="0"/>
  </dataFields>
  <chartFormats count="17">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 chart="41" format="9" series="1">
      <pivotArea type="data" outline="0" fieldPosition="0">
        <references count="1">
          <reference field="4294967294" count="1" selected="0">
            <x v="0"/>
          </reference>
        </references>
      </pivotArea>
    </chartFormat>
    <chartFormat chart="41" format="10">
      <pivotArea type="data" outline="0" fieldPosition="0">
        <references count="2">
          <reference field="4294967294" count="1" selected="0">
            <x v="0"/>
          </reference>
          <reference field="10" count="1" selected="0">
            <x v="0"/>
          </reference>
        </references>
      </pivotArea>
    </chartFormat>
    <chartFormat chart="41" format="11">
      <pivotArea type="data" outline="0" fieldPosition="0">
        <references count="2">
          <reference field="4294967294" count="1" selected="0">
            <x v="0"/>
          </reference>
          <reference field="10" count="1" selected="0">
            <x v="1"/>
          </reference>
        </references>
      </pivotArea>
    </chartFormat>
    <chartFormat chart="41" format="12">
      <pivotArea type="data" outline="0" fieldPosition="0">
        <references count="2">
          <reference field="4294967294" count="1" selected="0">
            <x v="0"/>
          </reference>
          <reference field="10" count="1" selected="0">
            <x v="2"/>
          </reference>
        </references>
      </pivotArea>
    </chartFormat>
    <chartFormat chart="38" format="1" series="1">
      <pivotArea type="data" outline="0" fieldPosition="0">
        <references count="1">
          <reference field="4294967294" count="1" selected="0">
            <x v="0"/>
          </reference>
        </references>
      </pivotArea>
    </chartFormat>
    <chartFormat chart="38" format="2">
      <pivotArea type="data" outline="0" fieldPosition="0">
        <references count="2">
          <reference field="4294967294" count="1" selected="0">
            <x v="0"/>
          </reference>
          <reference field="10" count="1" selected="0">
            <x v="0"/>
          </reference>
        </references>
      </pivotArea>
    </chartFormat>
    <chartFormat chart="38" format="3">
      <pivotArea type="data" outline="0" fieldPosition="0">
        <references count="2">
          <reference field="4294967294" count="1" selected="0">
            <x v="0"/>
          </reference>
          <reference field="10" count="1" selected="0">
            <x v="1"/>
          </reference>
        </references>
      </pivotArea>
    </chartFormat>
    <chartFormat chart="38"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4741D9-6A1D-4DF4-B419-D4A39E2C90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1:E24" firstHeaderRow="1" firstDataRow="1" firstDataCol="1"/>
  <pivotFields count="11">
    <pivotField showAll="0"/>
    <pivotField showAll="0"/>
    <pivotField showAll="0">
      <items count="9">
        <item x="1"/>
        <item x="4"/>
        <item x="5"/>
        <item x="2"/>
        <item x="6"/>
        <item x="3"/>
        <item x="7"/>
        <item x="0"/>
        <item t="default"/>
      </items>
    </pivotField>
    <pivotField showAll="0">
      <items count="7">
        <item x="4"/>
        <item x="2"/>
        <item x="3"/>
        <item x="5"/>
        <item x="0"/>
        <item x="1"/>
        <item t="default"/>
      </items>
    </pivotField>
    <pivotField showAll="0"/>
    <pivotField showAll="0"/>
    <pivotField showAll="0"/>
    <pivotField axis="axisRow" showAll="0">
      <items count="3">
        <item x="0"/>
        <item x="1"/>
        <item t="default"/>
      </items>
    </pivotField>
    <pivotField showAll="0"/>
    <pivotField dataField="1" showAll="0"/>
    <pivotField showAll="0">
      <items count="4">
        <item x="2"/>
        <item x="1"/>
        <item x="0"/>
        <item t="default"/>
      </items>
    </pivotField>
  </pivotFields>
  <rowFields count="1">
    <field x="7"/>
  </rowFields>
  <rowItems count="3">
    <i>
      <x/>
    </i>
    <i>
      <x v="1"/>
    </i>
    <i t="grand">
      <x/>
    </i>
  </rowItems>
  <colItems count="1">
    <i/>
  </colItems>
  <dataFields count="1">
    <dataField name="Average of Risk_Score" fld="9" subtotal="average" baseField="7"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C29987-9627-4B3C-8CAA-229ABC52FEC9}"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3">
  <location ref="A18:B25" firstHeaderRow="1" firstDataRow="1" firstDataCol="1"/>
  <pivotFields count="11">
    <pivotField showAll="0"/>
    <pivotField showAll="0"/>
    <pivotField showAll="0">
      <items count="9">
        <item x="1"/>
        <item x="4"/>
        <item x="5"/>
        <item x="2"/>
        <item x="6"/>
        <item x="3"/>
        <item x="7"/>
        <item x="0"/>
        <item t="default"/>
      </items>
    </pivotField>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dataField="1" showAll="0"/>
    <pivotField showAll="0">
      <items count="4">
        <item x="2"/>
        <item x="1"/>
        <item x="0"/>
        <item t="default"/>
      </items>
    </pivotField>
  </pivotFields>
  <rowFields count="1">
    <field x="3"/>
  </rowFields>
  <rowItems count="7">
    <i>
      <x v="4"/>
    </i>
    <i>
      <x v="5"/>
    </i>
    <i>
      <x v="2"/>
    </i>
    <i>
      <x/>
    </i>
    <i>
      <x v="1"/>
    </i>
    <i>
      <x v="3"/>
    </i>
    <i t="grand">
      <x/>
    </i>
  </rowItems>
  <colItems count="1">
    <i/>
  </colItems>
  <dataFields count="1">
    <dataField name="Average of Risk_Score" fld="9" subtotal="average" baseField="3" baseItem="3"/>
  </dataFields>
  <formats count="1">
    <format dxfId="3">
      <pivotArea collapsedLevelsAreSubtotals="1" fieldPosition="0">
        <references count="1">
          <reference field="3" count="0"/>
        </references>
      </pivotArea>
    </format>
  </formats>
  <chartFormats count="8">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3"/>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2">
          <reference field="4294967294" count="1" selected="0">
            <x v="0"/>
          </reference>
          <reference field="3" count="1" selected="0">
            <x v="4"/>
          </reference>
        </references>
      </pivotArea>
    </chartFormat>
    <chartFormat chart="8" format="6">
      <pivotArea type="data" outline="0" fieldPosition="0">
        <references count="2">
          <reference field="4294967294" count="1" selected="0">
            <x v="0"/>
          </reference>
          <reference field="3" count="1" selected="0">
            <x v="5"/>
          </reference>
        </references>
      </pivotArea>
    </chartFormat>
    <chartFormat chart="8" format="7">
      <pivotArea type="data" outline="0" fieldPosition="0">
        <references count="2">
          <reference field="4294967294" count="1" selected="0">
            <x v="0"/>
          </reference>
          <reference field="3" count="1" selected="0">
            <x v="2"/>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DCCC64-007A-4889-A56B-3F17EC6EB1CB}" sourceName="Country">
  <pivotTables>
    <pivotTable tabId="3" name="PivotTable3"/>
    <pivotTable tabId="3" name="PivotTable1"/>
    <pivotTable tabId="3" name="PivotTable2"/>
    <pivotTable tabId="3" name="PivotTable4"/>
  </pivotTables>
  <data>
    <tabular pivotCacheId="579171154">
      <items count="8">
        <i x="1" s="1"/>
        <i x="4" s="1"/>
        <i x="5" s="1"/>
        <i x="2" s="1"/>
        <i x="6" s="1"/>
        <i x="3"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8DECF77-0C6A-4749-BC3B-97B7D47788D9}" sourceName="Occupation">
  <pivotTables>
    <pivotTable tabId="3" name="PivotTable3"/>
    <pivotTable tabId="3" name="PivotTable1"/>
    <pivotTable tabId="3" name="PivotTable2"/>
    <pivotTable tabId="3" name="PivotTable4"/>
  </pivotTables>
  <data>
    <tabular pivotCacheId="579171154">
      <items count="6">
        <i x="4" s="1"/>
        <i x="2" s="1"/>
        <i x="3" s="1"/>
        <i x="5"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P" xr10:uid="{86AC3290-0445-463F-8611-20ACF4619AEC}" sourceName="PEP">
  <pivotTables>
    <pivotTable tabId="3" name="PivotTable3"/>
    <pivotTable tabId="3" name="PivotTable1"/>
    <pivotTable tabId="3" name="PivotTable2"/>
    <pivotTable tabId="3" name="PivotTable4"/>
  </pivotTables>
  <data>
    <tabular pivotCacheId="57917115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8599D073-FB9F-4FF8-B969-E85631A7251E}" sourceName="Risk_Category">
  <pivotTables>
    <pivotTable tabId="3" name="PivotTable3"/>
    <pivotTable tabId="3" name="PivotTable1"/>
    <pivotTable tabId="3" name="PivotTable2"/>
    <pivotTable tabId="3" name="PivotTable4"/>
  </pivotTables>
  <data>
    <tabular pivotCacheId="57917115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A5ED900-66C2-4ED6-8D0D-019087F6263C}" cache="Slicer_Country" caption="Country" rowHeight="720000"/>
  <slicer name="Occupation 2" xr10:uid="{0CB37DDB-E87F-4E84-AE03-386A357BFD3C}" cache="Slicer_Occupation" caption="Occupation" columnCount="6" rowHeight="576000"/>
  <slicer name="PEP 1" xr10:uid="{A5B4FFDA-9F8C-441B-A65C-FE45E53EC346}" cache="Slicer_PEP" caption="PEP" columnCount="2" rowHeight="612000"/>
  <slicer name="Risk_Category 2" xr10:uid="{521D9820-77A1-4E19-BF6C-36F2DD120A88}" cache="Slicer_Risk_Category" caption="Risk_Category"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CCA2F-585F-4A6A-A3A7-06828883BFC0}" name="tblcustomers" displayName="tblcustomers" ref="A1:K501" totalsRowShown="0">
  <autoFilter ref="A1:K501" xr:uid="{D12CCA2F-585F-4A6A-A3A7-06828883BFC0}"/>
  <tableColumns count="11">
    <tableColumn id="1" xr3:uid="{4D6C4427-3D5C-41B6-8DF2-ED213BDF62E5}" name="Customer_ID"/>
    <tableColumn id="2" xr3:uid="{34262559-9D99-4066-92BF-D57FD20D8910}" name="Age"/>
    <tableColumn id="3" xr3:uid="{DC61D0AC-DCD6-4861-8A28-90BAD4EF24FC}" name="Country"/>
    <tableColumn id="4" xr3:uid="{74C3655C-CF00-418F-9B65-6F5DA408BB25}" name="Occupation"/>
    <tableColumn id="5" xr3:uid="{6F69CCB9-9B84-46C8-B9B4-7D82C1029FD8}" name="Annual_Income"/>
    <tableColumn id="6" xr3:uid="{EB918666-EFB7-4D66-9F3A-D796841D8723}" name="Monthly_Transactions"/>
    <tableColumn id="7" xr3:uid="{11F6EB6B-CB89-4D4E-A463-24A1D478CBEB}" name="Avg_Transaction_Value"/>
    <tableColumn id="8" xr3:uid="{DD4ED671-3131-47A9-AB88-0FC92577E5AE}" name="PEP"/>
    <tableColumn id="9" xr3:uid="{BF168D86-4548-4EBD-9FAC-B9880198CBB8}" name="High_Risk_Country"/>
    <tableColumn id="10" xr3:uid="{40442766-3240-49D8-84BF-6447163351C9}" name="Risk_Score"/>
    <tableColumn id="11" xr3:uid="{F9771E82-C22E-41BD-8FD8-D38D8AB0C3AB}" name="Risk_Category"/>
  </tableColumns>
  <tableStyleInfo name="TableStyleMedium21" showFirstColumn="0" showLastColumn="0" showRowStripes="1" showColumnStripes="0"/>
</table>
</file>

<file path=xl/theme/theme1.xml><?xml version="1.0" encoding="utf-8"?>
<a:theme xmlns:a="http://schemas.openxmlformats.org/drawingml/2006/main" name="View">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C17F-3E56-4BC2-9A30-1CA5B4968F52}">
  <dimension ref="A1:M501"/>
  <sheetViews>
    <sheetView tabSelected="1" topLeftCell="D1" zoomScale="51" workbookViewId="0">
      <selection activeCell="D1" sqref="A1:XFD1"/>
    </sheetView>
  </sheetViews>
  <sheetFormatPr defaultRowHeight="34.799999999999997" x14ac:dyDescent="0.55000000000000004"/>
  <cols>
    <col min="1" max="1" width="11.765625" customWidth="1"/>
    <col min="4" max="4" width="10.53515625" customWidth="1"/>
    <col min="5" max="5" width="13.73046875" customWidth="1"/>
    <col min="6" max="6" width="18.9609375" customWidth="1"/>
    <col min="7" max="7" width="19.73046875" customWidth="1"/>
    <col min="9" max="9" width="16.4609375" customWidth="1"/>
    <col min="10" max="10" width="10.11328125" customWidth="1"/>
    <col min="11" max="11" width="12.69140625" customWidth="1"/>
  </cols>
  <sheetData>
    <row r="1" spans="1:13" x14ac:dyDescent="0.55000000000000004">
      <c r="A1" t="s">
        <v>0</v>
      </c>
      <c r="B1" t="s">
        <v>1</v>
      </c>
      <c r="C1" t="s">
        <v>2</v>
      </c>
      <c r="D1" t="s">
        <v>3</v>
      </c>
      <c r="E1" t="s">
        <v>4</v>
      </c>
      <c r="F1" t="s">
        <v>5</v>
      </c>
      <c r="G1" t="s">
        <v>6</v>
      </c>
      <c r="H1" t="s">
        <v>7</v>
      </c>
      <c r="I1" t="s">
        <v>8</v>
      </c>
      <c r="J1" t="s">
        <v>9</v>
      </c>
      <c r="K1" t="s">
        <v>10</v>
      </c>
    </row>
    <row r="2" spans="1:13" x14ac:dyDescent="0.55000000000000004">
      <c r="A2" t="s">
        <v>11</v>
      </c>
      <c r="B2">
        <v>61</v>
      </c>
      <c r="C2" t="s">
        <v>12</v>
      </c>
      <c r="D2" t="s">
        <v>13</v>
      </c>
      <c r="E2">
        <v>4914226</v>
      </c>
      <c r="F2">
        <v>16</v>
      </c>
      <c r="G2">
        <v>122026</v>
      </c>
      <c r="H2" t="s">
        <v>14</v>
      </c>
      <c r="I2" t="s">
        <v>14</v>
      </c>
      <c r="J2">
        <v>45</v>
      </c>
      <c r="K2" t="s">
        <v>15</v>
      </c>
      <c r="M2" s="2"/>
    </row>
    <row r="3" spans="1:13" x14ac:dyDescent="0.55000000000000004">
      <c r="A3" t="s">
        <v>16</v>
      </c>
      <c r="B3">
        <v>27</v>
      </c>
      <c r="C3" t="s">
        <v>12</v>
      </c>
      <c r="D3" t="s">
        <v>17</v>
      </c>
      <c r="E3">
        <v>7378673</v>
      </c>
      <c r="F3">
        <v>3</v>
      </c>
      <c r="G3">
        <v>20622</v>
      </c>
      <c r="H3" t="s">
        <v>14</v>
      </c>
      <c r="I3" t="s">
        <v>14</v>
      </c>
      <c r="J3">
        <v>15</v>
      </c>
      <c r="K3" t="s">
        <v>18</v>
      </c>
    </row>
    <row r="4" spans="1:13" x14ac:dyDescent="0.55000000000000004">
      <c r="A4" t="s">
        <v>19</v>
      </c>
      <c r="B4">
        <v>35</v>
      </c>
      <c r="C4" t="s">
        <v>20</v>
      </c>
      <c r="D4" t="s">
        <v>17</v>
      </c>
      <c r="E4">
        <v>3635942</v>
      </c>
      <c r="F4">
        <v>46</v>
      </c>
      <c r="G4">
        <v>345726</v>
      </c>
      <c r="H4" t="s">
        <v>14</v>
      </c>
      <c r="I4" t="s">
        <v>14</v>
      </c>
      <c r="J4">
        <v>55</v>
      </c>
      <c r="K4" t="s">
        <v>15</v>
      </c>
    </row>
    <row r="5" spans="1:13" x14ac:dyDescent="0.55000000000000004">
      <c r="A5" t="s">
        <v>21</v>
      </c>
      <c r="B5">
        <v>47</v>
      </c>
      <c r="C5" t="s">
        <v>22</v>
      </c>
      <c r="D5" t="s">
        <v>23</v>
      </c>
      <c r="E5">
        <v>4967265</v>
      </c>
      <c r="F5">
        <v>52</v>
      </c>
      <c r="G5">
        <v>460763</v>
      </c>
      <c r="H5" t="s">
        <v>24</v>
      </c>
      <c r="I5" t="s">
        <v>14</v>
      </c>
      <c r="J5">
        <v>125</v>
      </c>
      <c r="K5" t="s">
        <v>25</v>
      </c>
    </row>
    <row r="6" spans="1:13" x14ac:dyDescent="0.55000000000000004">
      <c r="A6" t="s">
        <v>26</v>
      </c>
      <c r="B6">
        <v>72</v>
      </c>
      <c r="C6" t="s">
        <v>27</v>
      </c>
      <c r="D6" t="s">
        <v>28</v>
      </c>
      <c r="E6">
        <v>7390293</v>
      </c>
      <c r="F6">
        <v>22</v>
      </c>
      <c r="G6">
        <v>150684</v>
      </c>
      <c r="H6" t="s">
        <v>14</v>
      </c>
      <c r="I6" t="s">
        <v>14</v>
      </c>
      <c r="J6">
        <v>50</v>
      </c>
      <c r="K6" t="s">
        <v>15</v>
      </c>
    </row>
    <row r="7" spans="1:13" x14ac:dyDescent="0.55000000000000004">
      <c r="A7" t="s">
        <v>29</v>
      </c>
      <c r="B7">
        <v>69</v>
      </c>
      <c r="C7" t="s">
        <v>30</v>
      </c>
      <c r="D7" t="s">
        <v>13</v>
      </c>
      <c r="E7">
        <v>1856017</v>
      </c>
      <c r="F7">
        <v>25</v>
      </c>
      <c r="G7">
        <v>55707</v>
      </c>
      <c r="H7" t="s">
        <v>14</v>
      </c>
      <c r="I7" t="s">
        <v>24</v>
      </c>
      <c r="J7">
        <v>65</v>
      </c>
      <c r="K7" t="s">
        <v>15</v>
      </c>
    </row>
    <row r="8" spans="1:13" x14ac:dyDescent="0.55000000000000004">
      <c r="A8" t="s">
        <v>31</v>
      </c>
      <c r="B8">
        <v>43</v>
      </c>
      <c r="C8" t="s">
        <v>32</v>
      </c>
      <c r="D8" t="s">
        <v>13</v>
      </c>
      <c r="E8">
        <v>8007870</v>
      </c>
      <c r="F8">
        <v>35</v>
      </c>
      <c r="G8">
        <v>70444</v>
      </c>
      <c r="H8" t="s">
        <v>14</v>
      </c>
      <c r="I8" t="s">
        <v>24</v>
      </c>
      <c r="J8">
        <v>75</v>
      </c>
      <c r="K8" t="s">
        <v>15</v>
      </c>
    </row>
    <row r="9" spans="1:13" x14ac:dyDescent="0.55000000000000004">
      <c r="A9" t="s">
        <v>33</v>
      </c>
      <c r="B9">
        <v>45</v>
      </c>
      <c r="C9" t="s">
        <v>12</v>
      </c>
      <c r="D9" t="s">
        <v>17</v>
      </c>
      <c r="E9">
        <v>5218715</v>
      </c>
      <c r="F9">
        <v>54</v>
      </c>
      <c r="G9">
        <v>334588</v>
      </c>
      <c r="H9" t="s">
        <v>14</v>
      </c>
      <c r="I9" t="s">
        <v>14</v>
      </c>
      <c r="J9">
        <v>55</v>
      </c>
      <c r="K9" t="s">
        <v>15</v>
      </c>
    </row>
    <row r="10" spans="1:13" x14ac:dyDescent="0.55000000000000004">
      <c r="A10" t="s">
        <v>34</v>
      </c>
      <c r="B10">
        <v>44</v>
      </c>
      <c r="C10" t="s">
        <v>22</v>
      </c>
      <c r="D10" t="s">
        <v>28</v>
      </c>
      <c r="E10">
        <v>1466941</v>
      </c>
      <c r="F10">
        <v>3</v>
      </c>
      <c r="G10">
        <v>351692</v>
      </c>
      <c r="H10" t="s">
        <v>14</v>
      </c>
      <c r="I10" t="s">
        <v>14</v>
      </c>
      <c r="J10">
        <v>40</v>
      </c>
      <c r="K10" t="s">
        <v>18</v>
      </c>
    </row>
    <row r="11" spans="1:13" x14ac:dyDescent="0.55000000000000004">
      <c r="A11" t="s">
        <v>35</v>
      </c>
      <c r="B11">
        <v>39</v>
      </c>
      <c r="C11" t="s">
        <v>12</v>
      </c>
      <c r="D11" t="s">
        <v>36</v>
      </c>
      <c r="E11">
        <v>1994522</v>
      </c>
      <c r="F11">
        <v>25</v>
      </c>
      <c r="G11">
        <v>150738</v>
      </c>
      <c r="H11" t="s">
        <v>14</v>
      </c>
      <c r="I11" t="s">
        <v>14</v>
      </c>
      <c r="J11">
        <v>60</v>
      </c>
      <c r="K11" t="s">
        <v>15</v>
      </c>
    </row>
    <row r="12" spans="1:13" x14ac:dyDescent="0.55000000000000004">
      <c r="A12" t="s">
        <v>37</v>
      </c>
      <c r="B12">
        <v>74</v>
      </c>
      <c r="C12" t="s">
        <v>30</v>
      </c>
      <c r="D12" t="s">
        <v>36</v>
      </c>
      <c r="E12">
        <v>6510606</v>
      </c>
      <c r="F12">
        <v>23</v>
      </c>
      <c r="G12">
        <v>114842</v>
      </c>
      <c r="H12" t="s">
        <v>14</v>
      </c>
      <c r="I12" t="s">
        <v>24</v>
      </c>
      <c r="J12">
        <v>90</v>
      </c>
      <c r="K12" t="s">
        <v>25</v>
      </c>
    </row>
    <row r="13" spans="1:13" x14ac:dyDescent="0.55000000000000004">
      <c r="A13" t="s">
        <v>38</v>
      </c>
      <c r="B13">
        <v>65</v>
      </c>
      <c r="C13" t="s">
        <v>12</v>
      </c>
      <c r="D13" t="s">
        <v>17</v>
      </c>
      <c r="E13">
        <v>3171230</v>
      </c>
      <c r="F13">
        <v>35</v>
      </c>
      <c r="G13">
        <v>387272</v>
      </c>
      <c r="H13" t="s">
        <v>14</v>
      </c>
      <c r="I13" t="s">
        <v>14</v>
      </c>
      <c r="J13">
        <v>55</v>
      </c>
      <c r="K13" t="s">
        <v>15</v>
      </c>
    </row>
    <row r="14" spans="1:13" x14ac:dyDescent="0.55000000000000004">
      <c r="A14" t="s">
        <v>39</v>
      </c>
      <c r="B14">
        <v>50</v>
      </c>
      <c r="C14" t="s">
        <v>40</v>
      </c>
      <c r="D14" t="s">
        <v>41</v>
      </c>
      <c r="E14">
        <v>9644066</v>
      </c>
      <c r="F14">
        <v>15</v>
      </c>
      <c r="G14">
        <v>363935</v>
      </c>
      <c r="H14" t="s">
        <v>14</v>
      </c>
      <c r="I14" t="s">
        <v>24</v>
      </c>
      <c r="J14">
        <v>110</v>
      </c>
      <c r="K14" t="s">
        <v>25</v>
      </c>
    </row>
    <row r="15" spans="1:13" x14ac:dyDescent="0.55000000000000004">
      <c r="A15" t="s">
        <v>42</v>
      </c>
      <c r="B15">
        <v>70</v>
      </c>
      <c r="C15" t="s">
        <v>20</v>
      </c>
      <c r="D15" t="s">
        <v>36</v>
      </c>
      <c r="E15">
        <v>838552</v>
      </c>
      <c r="F15">
        <v>52</v>
      </c>
      <c r="G15">
        <v>170388</v>
      </c>
      <c r="H15" t="s">
        <v>14</v>
      </c>
      <c r="I15" t="s">
        <v>14</v>
      </c>
      <c r="J15">
        <v>70</v>
      </c>
      <c r="K15" t="s">
        <v>15</v>
      </c>
    </row>
    <row r="16" spans="1:13" x14ac:dyDescent="0.55000000000000004">
      <c r="A16" t="s">
        <v>43</v>
      </c>
      <c r="B16">
        <v>25</v>
      </c>
      <c r="C16" t="s">
        <v>22</v>
      </c>
      <c r="D16" t="s">
        <v>17</v>
      </c>
      <c r="E16">
        <v>5579418</v>
      </c>
      <c r="F16">
        <v>14</v>
      </c>
      <c r="G16">
        <v>348638</v>
      </c>
      <c r="H16" t="s">
        <v>14</v>
      </c>
      <c r="I16" t="s">
        <v>14</v>
      </c>
      <c r="J16">
        <v>45</v>
      </c>
      <c r="K16" t="s">
        <v>15</v>
      </c>
    </row>
    <row r="17" spans="1:11" x14ac:dyDescent="0.55000000000000004">
      <c r="A17" t="s">
        <v>44</v>
      </c>
      <c r="B17">
        <v>62</v>
      </c>
      <c r="C17" t="s">
        <v>45</v>
      </c>
      <c r="D17" t="s">
        <v>36</v>
      </c>
      <c r="E17">
        <v>4743951</v>
      </c>
      <c r="F17">
        <v>9</v>
      </c>
      <c r="G17">
        <v>134303</v>
      </c>
      <c r="H17" t="s">
        <v>14</v>
      </c>
      <c r="I17" t="s">
        <v>14</v>
      </c>
      <c r="J17">
        <v>50</v>
      </c>
      <c r="K17" t="s">
        <v>15</v>
      </c>
    </row>
    <row r="18" spans="1:11" x14ac:dyDescent="0.55000000000000004">
      <c r="A18" t="s">
        <v>46</v>
      </c>
      <c r="B18">
        <v>55</v>
      </c>
      <c r="C18" t="s">
        <v>32</v>
      </c>
      <c r="D18" t="s">
        <v>28</v>
      </c>
      <c r="E18">
        <v>7487926</v>
      </c>
      <c r="F18">
        <v>58</v>
      </c>
      <c r="G18">
        <v>310939</v>
      </c>
      <c r="H18" t="s">
        <v>14</v>
      </c>
      <c r="I18" t="s">
        <v>24</v>
      </c>
      <c r="J18">
        <v>90</v>
      </c>
      <c r="K18" t="s">
        <v>25</v>
      </c>
    </row>
    <row r="19" spans="1:11" x14ac:dyDescent="0.55000000000000004">
      <c r="A19" t="s">
        <v>47</v>
      </c>
      <c r="B19">
        <v>35</v>
      </c>
      <c r="C19" t="s">
        <v>27</v>
      </c>
      <c r="D19" t="s">
        <v>17</v>
      </c>
      <c r="E19">
        <v>8579821</v>
      </c>
      <c r="F19">
        <v>6</v>
      </c>
      <c r="G19">
        <v>401247</v>
      </c>
      <c r="H19" t="s">
        <v>24</v>
      </c>
      <c r="I19" t="s">
        <v>14</v>
      </c>
      <c r="J19">
        <v>75</v>
      </c>
      <c r="K19" t="s">
        <v>15</v>
      </c>
    </row>
    <row r="20" spans="1:11" x14ac:dyDescent="0.55000000000000004">
      <c r="A20" t="s">
        <v>48</v>
      </c>
      <c r="B20">
        <v>28</v>
      </c>
      <c r="C20" t="s">
        <v>27</v>
      </c>
      <c r="D20" t="s">
        <v>28</v>
      </c>
      <c r="E20">
        <v>2984052</v>
      </c>
      <c r="F20">
        <v>51</v>
      </c>
      <c r="G20">
        <v>361768</v>
      </c>
      <c r="H20" t="s">
        <v>14</v>
      </c>
      <c r="I20" t="s">
        <v>14</v>
      </c>
      <c r="J20">
        <v>60</v>
      </c>
      <c r="K20" t="s">
        <v>15</v>
      </c>
    </row>
    <row r="21" spans="1:11" x14ac:dyDescent="0.55000000000000004">
      <c r="A21" t="s">
        <v>49</v>
      </c>
      <c r="B21">
        <v>25</v>
      </c>
      <c r="C21" t="s">
        <v>40</v>
      </c>
      <c r="D21" t="s">
        <v>23</v>
      </c>
      <c r="E21">
        <v>8152574</v>
      </c>
      <c r="F21">
        <v>34</v>
      </c>
      <c r="G21">
        <v>136813</v>
      </c>
      <c r="H21" t="s">
        <v>14</v>
      </c>
      <c r="I21" t="s">
        <v>24</v>
      </c>
      <c r="J21">
        <v>115</v>
      </c>
      <c r="K21" t="s">
        <v>25</v>
      </c>
    </row>
    <row r="22" spans="1:11" x14ac:dyDescent="0.55000000000000004">
      <c r="A22" t="s">
        <v>50</v>
      </c>
      <c r="B22">
        <v>21</v>
      </c>
      <c r="C22" t="s">
        <v>12</v>
      </c>
      <c r="D22" t="s">
        <v>28</v>
      </c>
      <c r="E22">
        <v>9308867</v>
      </c>
      <c r="F22">
        <v>49</v>
      </c>
      <c r="G22">
        <v>144893</v>
      </c>
      <c r="H22" t="s">
        <v>14</v>
      </c>
      <c r="I22" t="s">
        <v>14</v>
      </c>
      <c r="J22">
        <v>60</v>
      </c>
      <c r="K22" t="s">
        <v>15</v>
      </c>
    </row>
    <row r="23" spans="1:11" x14ac:dyDescent="0.55000000000000004">
      <c r="A23" t="s">
        <v>51</v>
      </c>
      <c r="B23">
        <v>42</v>
      </c>
      <c r="C23" t="s">
        <v>12</v>
      </c>
      <c r="D23" t="s">
        <v>41</v>
      </c>
      <c r="E23">
        <v>7594150</v>
      </c>
      <c r="F23">
        <v>11</v>
      </c>
      <c r="G23">
        <v>242881</v>
      </c>
      <c r="H23" t="s">
        <v>24</v>
      </c>
      <c r="I23" t="s">
        <v>14</v>
      </c>
      <c r="J23">
        <v>120</v>
      </c>
      <c r="K23" t="s">
        <v>25</v>
      </c>
    </row>
    <row r="24" spans="1:11" x14ac:dyDescent="0.55000000000000004">
      <c r="A24" t="s">
        <v>52</v>
      </c>
      <c r="B24">
        <v>67</v>
      </c>
      <c r="C24" t="s">
        <v>32</v>
      </c>
      <c r="D24" t="s">
        <v>17</v>
      </c>
      <c r="E24">
        <v>3297281</v>
      </c>
      <c r="F24">
        <v>33</v>
      </c>
      <c r="G24">
        <v>483479</v>
      </c>
      <c r="H24" t="s">
        <v>14</v>
      </c>
      <c r="I24" t="s">
        <v>24</v>
      </c>
      <c r="J24">
        <v>85</v>
      </c>
      <c r="K24" t="s">
        <v>25</v>
      </c>
    </row>
    <row r="25" spans="1:11" x14ac:dyDescent="0.55000000000000004">
      <c r="A25" t="s">
        <v>53</v>
      </c>
      <c r="B25">
        <v>61</v>
      </c>
      <c r="C25" t="s">
        <v>32</v>
      </c>
      <c r="D25" t="s">
        <v>28</v>
      </c>
      <c r="E25">
        <v>8817169</v>
      </c>
      <c r="F25">
        <v>39</v>
      </c>
      <c r="G25">
        <v>109286</v>
      </c>
      <c r="H25" t="s">
        <v>14</v>
      </c>
      <c r="I25" t="s">
        <v>24</v>
      </c>
      <c r="J25">
        <v>90</v>
      </c>
      <c r="K25" t="s">
        <v>25</v>
      </c>
    </row>
    <row r="26" spans="1:11" x14ac:dyDescent="0.55000000000000004">
      <c r="A26" t="s">
        <v>54</v>
      </c>
      <c r="B26">
        <v>69</v>
      </c>
      <c r="C26" t="s">
        <v>27</v>
      </c>
      <c r="D26" t="s">
        <v>17</v>
      </c>
      <c r="E26">
        <v>9197858</v>
      </c>
      <c r="F26">
        <v>59</v>
      </c>
      <c r="G26">
        <v>5299</v>
      </c>
      <c r="H26" t="s">
        <v>14</v>
      </c>
      <c r="I26" t="s">
        <v>14</v>
      </c>
      <c r="J26">
        <v>35</v>
      </c>
      <c r="K26" t="s">
        <v>18</v>
      </c>
    </row>
    <row r="27" spans="1:11" x14ac:dyDescent="0.55000000000000004">
      <c r="A27" t="s">
        <v>55</v>
      </c>
      <c r="B27">
        <v>52</v>
      </c>
      <c r="C27" t="s">
        <v>20</v>
      </c>
      <c r="D27" t="s">
        <v>13</v>
      </c>
      <c r="E27">
        <v>6389806</v>
      </c>
      <c r="F27">
        <v>57</v>
      </c>
      <c r="G27">
        <v>441032</v>
      </c>
      <c r="H27" t="s">
        <v>14</v>
      </c>
      <c r="I27" t="s">
        <v>14</v>
      </c>
      <c r="J27">
        <v>55</v>
      </c>
      <c r="K27" t="s">
        <v>15</v>
      </c>
    </row>
    <row r="28" spans="1:11" x14ac:dyDescent="0.55000000000000004">
      <c r="A28" t="s">
        <v>56</v>
      </c>
      <c r="B28">
        <v>36</v>
      </c>
      <c r="C28" t="s">
        <v>20</v>
      </c>
      <c r="D28" t="s">
        <v>36</v>
      </c>
      <c r="E28">
        <v>9818669</v>
      </c>
      <c r="F28">
        <v>6</v>
      </c>
      <c r="G28">
        <v>49907</v>
      </c>
      <c r="H28" t="s">
        <v>14</v>
      </c>
      <c r="I28" t="s">
        <v>14</v>
      </c>
      <c r="J28">
        <v>30</v>
      </c>
      <c r="K28" t="s">
        <v>18</v>
      </c>
    </row>
    <row r="29" spans="1:11" x14ac:dyDescent="0.55000000000000004">
      <c r="A29" t="s">
        <v>57</v>
      </c>
      <c r="B29">
        <v>73</v>
      </c>
      <c r="C29" t="s">
        <v>12</v>
      </c>
      <c r="D29" t="s">
        <v>17</v>
      </c>
      <c r="E29">
        <v>2409911</v>
      </c>
      <c r="F29">
        <v>9</v>
      </c>
      <c r="G29">
        <v>350899</v>
      </c>
      <c r="H29" t="s">
        <v>14</v>
      </c>
      <c r="I29" t="s">
        <v>14</v>
      </c>
      <c r="J29">
        <v>35</v>
      </c>
      <c r="K29" t="s">
        <v>18</v>
      </c>
    </row>
    <row r="30" spans="1:11" x14ac:dyDescent="0.55000000000000004">
      <c r="A30" t="s">
        <v>58</v>
      </c>
      <c r="B30">
        <v>56</v>
      </c>
      <c r="C30" t="s">
        <v>27</v>
      </c>
      <c r="D30" t="s">
        <v>41</v>
      </c>
      <c r="E30">
        <v>9152897</v>
      </c>
      <c r="F30">
        <v>56</v>
      </c>
      <c r="G30">
        <v>323029</v>
      </c>
      <c r="H30" t="s">
        <v>14</v>
      </c>
      <c r="I30" t="s">
        <v>14</v>
      </c>
      <c r="J30">
        <v>90</v>
      </c>
      <c r="K30" t="s">
        <v>25</v>
      </c>
    </row>
    <row r="31" spans="1:11" x14ac:dyDescent="0.55000000000000004">
      <c r="A31" t="s">
        <v>59</v>
      </c>
      <c r="B31">
        <v>34</v>
      </c>
      <c r="C31" t="s">
        <v>22</v>
      </c>
      <c r="D31" t="s">
        <v>28</v>
      </c>
      <c r="E31">
        <v>5529731</v>
      </c>
      <c r="F31">
        <v>26</v>
      </c>
      <c r="G31">
        <v>357157</v>
      </c>
      <c r="H31" t="s">
        <v>14</v>
      </c>
      <c r="I31" t="s">
        <v>14</v>
      </c>
      <c r="J31">
        <v>50</v>
      </c>
      <c r="K31" t="s">
        <v>15</v>
      </c>
    </row>
    <row r="32" spans="1:11" x14ac:dyDescent="0.55000000000000004">
      <c r="A32" t="s">
        <v>60</v>
      </c>
      <c r="B32">
        <v>49</v>
      </c>
      <c r="C32" t="s">
        <v>45</v>
      </c>
      <c r="D32" t="s">
        <v>13</v>
      </c>
      <c r="E32">
        <v>4459166</v>
      </c>
      <c r="F32">
        <v>15</v>
      </c>
      <c r="G32">
        <v>38568</v>
      </c>
      <c r="H32" t="s">
        <v>14</v>
      </c>
      <c r="I32" t="s">
        <v>14</v>
      </c>
      <c r="J32">
        <v>25</v>
      </c>
      <c r="K32" t="s">
        <v>18</v>
      </c>
    </row>
    <row r="33" spans="1:11" x14ac:dyDescent="0.55000000000000004">
      <c r="A33" t="s">
        <v>61</v>
      </c>
      <c r="B33">
        <v>58</v>
      </c>
      <c r="C33" t="s">
        <v>22</v>
      </c>
      <c r="D33" t="s">
        <v>17</v>
      </c>
      <c r="E33">
        <v>3994634</v>
      </c>
      <c r="F33">
        <v>1</v>
      </c>
      <c r="G33">
        <v>42220</v>
      </c>
      <c r="H33" t="s">
        <v>14</v>
      </c>
      <c r="I33" t="s">
        <v>14</v>
      </c>
      <c r="J33">
        <v>15</v>
      </c>
      <c r="K33" t="s">
        <v>18</v>
      </c>
    </row>
    <row r="34" spans="1:11" x14ac:dyDescent="0.55000000000000004">
      <c r="A34" t="s">
        <v>62</v>
      </c>
      <c r="B34">
        <v>24</v>
      </c>
      <c r="C34" t="s">
        <v>22</v>
      </c>
      <c r="D34" t="s">
        <v>13</v>
      </c>
      <c r="E34">
        <v>827021</v>
      </c>
      <c r="F34">
        <v>56</v>
      </c>
      <c r="G34">
        <v>178239</v>
      </c>
      <c r="H34" t="s">
        <v>14</v>
      </c>
      <c r="I34" t="s">
        <v>14</v>
      </c>
      <c r="J34">
        <v>55</v>
      </c>
      <c r="K34" t="s">
        <v>15</v>
      </c>
    </row>
    <row r="35" spans="1:11" x14ac:dyDescent="0.55000000000000004">
      <c r="A35" t="s">
        <v>63</v>
      </c>
      <c r="B35">
        <v>36</v>
      </c>
      <c r="C35" t="s">
        <v>32</v>
      </c>
      <c r="D35" t="s">
        <v>28</v>
      </c>
      <c r="E35">
        <v>8443903</v>
      </c>
      <c r="F35">
        <v>14</v>
      </c>
      <c r="G35">
        <v>287713</v>
      </c>
      <c r="H35" t="s">
        <v>14</v>
      </c>
      <c r="I35" t="s">
        <v>24</v>
      </c>
      <c r="J35">
        <v>80</v>
      </c>
      <c r="K35" t="s">
        <v>15</v>
      </c>
    </row>
    <row r="36" spans="1:11" x14ac:dyDescent="0.55000000000000004">
      <c r="A36" t="s">
        <v>64</v>
      </c>
      <c r="B36">
        <v>57</v>
      </c>
      <c r="C36" t="s">
        <v>45</v>
      </c>
      <c r="D36" t="s">
        <v>36</v>
      </c>
      <c r="E36">
        <v>8235169</v>
      </c>
      <c r="F36">
        <v>52</v>
      </c>
      <c r="G36">
        <v>218416</v>
      </c>
      <c r="H36" t="s">
        <v>14</v>
      </c>
      <c r="I36" t="s">
        <v>14</v>
      </c>
      <c r="J36">
        <v>70</v>
      </c>
      <c r="K36" t="s">
        <v>15</v>
      </c>
    </row>
    <row r="37" spans="1:11" x14ac:dyDescent="0.55000000000000004">
      <c r="A37" t="s">
        <v>65</v>
      </c>
      <c r="B37">
        <v>27</v>
      </c>
      <c r="C37" t="s">
        <v>40</v>
      </c>
      <c r="D37" t="s">
        <v>41</v>
      </c>
      <c r="E37">
        <v>7406470</v>
      </c>
      <c r="F37">
        <v>27</v>
      </c>
      <c r="G37">
        <v>249855</v>
      </c>
      <c r="H37" t="s">
        <v>14</v>
      </c>
      <c r="I37" t="s">
        <v>24</v>
      </c>
      <c r="J37">
        <v>110</v>
      </c>
      <c r="K37" t="s">
        <v>25</v>
      </c>
    </row>
    <row r="38" spans="1:11" x14ac:dyDescent="0.55000000000000004">
      <c r="A38" t="s">
        <v>66</v>
      </c>
      <c r="B38">
        <v>24</v>
      </c>
      <c r="C38" t="s">
        <v>12</v>
      </c>
      <c r="D38" t="s">
        <v>13</v>
      </c>
      <c r="E38">
        <v>7054864</v>
      </c>
      <c r="F38">
        <v>47</v>
      </c>
      <c r="G38">
        <v>182892</v>
      </c>
      <c r="H38" t="s">
        <v>14</v>
      </c>
      <c r="I38" t="s">
        <v>14</v>
      </c>
      <c r="J38">
        <v>55</v>
      </c>
      <c r="K38" t="s">
        <v>15</v>
      </c>
    </row>
    <row r="39" spans="1:11" x14ac:dyDescent="0.55000000000000004">
      <c r="A39" t="s">
        <v>67</v>
      </c>
      <c r="B39">
        <v>27</v>
      </c>
      <c r="C39" t="s">
        <v>22</v>
      </c>
      <c r="D39" t="s">
        <v>36</v>
      </c>
      <c r="E39">
        <v>3491175</v>
      </c>
      <c r="F39">
        <v>35</v>
      </c>
      <c r="G39">
        <v>240202</v>
      </c>
      <c r="H39" t="s">
        <v>14</v>
      </c>
      <c r="I39" t="s">
        <v>14</v>
      </c>
      <c r="J39">
        <v>70</v>
      </c>
      <c r="K39" t="s">
        <v>15</v>
      </c>
    </row>
    <row r="40" spans="1:11" x14ac:dyDescent="0.55000000000000004">
      <c r="A40" t="s">
        <v>68</v>
      </c>
      <c r="B40">
        <v>32</v>
      </c>
      <c r="C40" t="s">
        <v>32</v>
      </c>
      <c r="D40" t="s">
        <v>23</v>
      </c>
      <c r="E40">
        <v>4491056</v>
      </c>
      <c r="F40">
        <v>56</v>
      </c>
      <c r="G40">
        <v>489057</v>
      </c>
      <c r="H40" t="s">
        <v>14</v>
      </c>
      <c r="I40" t="s">
        <v>24</v>
      </c>
      <c r="J40">
        <v>115</v>
      </c>
      <c r="K40" t="s">
        <v>25</v>
      </c>
    </row>
    <row r="41" spans="1:11" x14ac:dyDescent="0.55000000000000004">
      <c r="A41" t="s">
        <v>69</v>
      </c>
      <c r="B41">
        <v>72</v>
      </c>
      <c r="C41" t="s">
        <v>12</v>
      </c>
      <c r="D41" t="s">
        <v>13</v>
      </c>
      <c r="E41">
        <v>9369560</v>
      </c>
      <c r="F41">
        <v>54</v>
      </c>
      <c r="G41">
        <v>12737</v>
      </c>
      <c r="H41" t="s">
        <v>14</v>
      </c>
      <c r="I41" t="s">
        <v>14</v>
      </c>
      <c r="J41">
        <v>35</v>
      </c>
      <c r="K41" t="s">
        <v>18</v>
      </c>
    </row>
    <row r="42" spans="1:11" x14ac:dyDescent="0.55000000000000004">
      <c r="A42" t="s">
        <v>70</v>
      </c>
      <c r="B42">
        <v>69</v>
      </c>
      <c r="C42" t="s">
        <v>22</v>
      </c>
      <c r="D42" t="s">
        <v>36</v>
      </c>
      <c r="E42">
        <v>7118496</v>
      </c>
      <c r="F42">
        <v>32</v>
      </c>
      <c r="G42">
        <v>257370</v>
      </c>
      <c r="H42" t="s">
        <v>14</v>
      </c>
      <c r="I42" t="s">
        <v>14</v>
      </c>
      <c r="J42">
        <v>70</v>
      </c>
      <c r="K42" t="s">
        <v>15</v>
      </c>
    </row>
    <row r="43" spans="1:11" x14ac:dyDescent="0.55000000000000004">
      <c r="A43" t="s">
        <v>71</v>
      </c>
      <c r="B43">
        <v>46</v>
      </c>
      <c r="C43" t="s">
        <v>20</v>
      </c>
      <c r="D43" t="s">
        <v>36</v>
      </c>
      <c r="E43">
        <v>6658113</v>
      </c>
      <c r="F43">
        <v>1</v>
      </c>
      <c r="G43">
        <v>209693</v>
      </c>
      <c r="H43" t="s">
        <v>14</v>
      </c>
      <c r="I43" t="s">
        <v>14</v>
      </c>
      <c r="J43">
        <v>50</v>
      </c>
      <c r="K43" t="s">
        <v>15</v>
      </c>
    </row>
    <row r="44" spans="1:11" x14ac:dyDescent="0.55000000000000004">
      <c r="A44" t="s">
        <v>72</v>
      </c>
      <c r="B44">
        <v>71</v>
      </c>
      <c r="C44" t="s">
        <v>45</v>
      </c>
      <c r="D44" t="s">
        <v>41</v>
      </c>
      <c r="E44">
        <v>7396887</v>
      </c>
      <c r="F44">
        <v>45</v>
      </c>
      <c r="G44">
        <v>387995</v>
      </c>
      <c r="H44" t="s">
        <v>14</v>
      </c>
      <c r="I44" t="s">
        <v>14</v>
      </c>
      <c r="J44">
        <v>90</v>
      </c>
      <c r="K44" t="s">
        <v>25</v>
      </c>
    </row>
    <row r="45" spans="1:11" x14ac:dyDescent="0.55000000000000004">
      <c r="A45" t="s">
        <v>73</v>
      </c>
      <c r="B45">
        <v>56</v>
      </c>
      <c r="C45" t="s">
        <v>45</v>
      </c>
      <c r="D45" t="s">
        <v>36</v>
      </c>
      <c r="E45">
        <v>3485957</v>
      </c>
      <c r="F45">
        <v>19</v>
      </c>
      <c r="G45">
        <v>119137</v>
      </c>
      <c r="H45" t="s">
        <v>14</v>
      </c>
      <c r="I45" t="s">
        <v>14</v>
      </c>
      <c r="J45">
        <v>60</v>
      </c>
      <c r="K45" t="s">
        <v>15</v>
      </c>
    </row>
    <row r="46" spans="1:11" x14ac:dyDescent="0.55000000000000004">
      <c r="A46" t="s">
        <v>74</v>
      </c>
      <c r="B46">
        <v>58</v>
      </c>
      <c r="C46" t="s">
        <v>20</v>
      </c>
      <c r="D46" t="s">
        <v>28</v>
      </c>
      <c r="E46">
        <v>5561415</v>
      </c>
      <c r="F46">
        <v>4</v>
      </c>
      <c r="G46">
        <v>31289</v>
      </c>
      <c r="H46" t="s">
        <v>14</v>
      </c>
      <c r="I46" t="s">
        <v>14</v>
      </c>
      <c r="J46">
        <v>20</v>
      </c>
      <c r="K46" t="s">
        <v>18</v>
      </c>
    </row>
    <row r="47" spans="1:11" x14ac:dyDescent="0.55000000000000004">
      <c r="A47" t="s">
        <v>75</v>
      </c>
      <c r="B47">
        <v>53</v>
      </c>
      <c r="C47" t="s">
        <v>27</v>
      </c>
      <c r="D47" t="s">
        <v>13</v>
      </c>
      <c r="E47">
        <v>8819948</v>
      </c>
      <c r="F47">
        <v>6</v>
      </c>
      <c r="G47">
        <v>451348</v>
      </c>
      <c r="H47" t="s">
        <v>14</v>
      </c>
      <c r="I47" t="s">
        <v>14</v>
      </c>
      <c r="J47">
        <v>35</v>
      </c>
      <c r="K47" t="s">
        <v>18</v>
      </c>
    </row>
    <row r="48" spans="1:11" x14ac:dyDescent="0.55000000000000004">
      <c r="A48" t="s">
        <v>76</v>
      </c>
      <c r="B48">
        <v>59</v>
      </c>
      <c r="C48" t="s">
        <v>12</v>
      </c>
      <c r="D48" t="s">
        <v>28</v>
      </c>
      <c r="E48">
        <v>4246066</v>
      </c>
      <c r="F48">
        <v>26</v>
      </c>
      <c r="G48">
        <v>67855</v>
      </c>
      <c r="H48" t="s">
        <v>14</v>
      </c>
      <c r="I48" t="s">
        <v>14</v>
      </c>
      <c r="J48">
        <v>40</v>
      </c>
      <c r="K48" t="s">
        <v>18</v>
      </c>
    </row>
    <row r="49" spans="1:11" x14ac:dyDescent="0.55000000000000004">
      <c r="A49" t="s">
        <v>77</v>
      </c>
      <c r="B49">
        <v>57</v>
      </c>
      <c r="C49" t="s">
        <v>22</v>
      </c>
      <c r="D49" t="s">
        <v>17</v>
      </c>
      <c r="E49">
        <v>966754</v>
      </c>
      <c r="F49">
        <v>40</v>
      </c>
      <c r="G49">
        <v>47982</v>
      </c>
      <c r="H49" t="s">
        <v>14</v>
      </c>
      <c r="I49" t="s">
        <v>14</v>
      </c>
      <c r="J49">
        <v>35</v>
      </c>
      <c r="K49" t="s">
        <v>18</v>
      </c>
    </row>
    <row r="50" spans="1:11" x14ac:dyDescent="0.55000000000000004">
      <c r="A50" t="s">
        <v>78</v>
      </c>
      <c r="B50">
        <v>58</v>
      </c>
      <c r="C50" t="s">
        <v>30</v>
      </c>
      <c r="D50" t="s">
        <v>41</v>
      </c>
      <c r="E50">
        <v>3726900</v>
      </c>
      <c r="F50">
        <v>43</v>
      </c>
      <c r="G50">
        <v>380490</v>
      </c>
      <c r="H50" t="s">
        <v>14</v>
      </c>
      <c r="I50" t="s">
        <v>24</v>
      </c>
      <c r="J50">
        <v>120</v>
      </c>
      <c r="K50" t="s">
        <v>25</v>
      </c>
    </row>
    <row r="51" spans="1:11" x14ac:dyDescent="0.55000000000000004">
      <c r="A51" t="s">
        <v>79</v>
      </c>
      <c r="B51">
        <v>37</v>
      </c>
      <c r="C51" t="s">
        <v>40</v>
      </c>
      <c r="D51" t="s">
        <v>36</v>
      </c>
      <c r="E51">
        <v>5333115</v>
      </c>
      <c r="F51">
        <v>30</v>
      </c>
      <c r="G51">
        <v>170767</v>
      </c>
      <c r="H51" t="s">
        <v>14</v>
      </c>
      <c r="I51" t="s">
        <v>24</v>
      </c>
      <c r="J51">
        <v>90</v>
      </c>
      <c r="K51" t="s">
        <v>25</v>
      </c>
    </row>
    <row r="52" spans="1:11" x14ac:dyDescent="0.55000000000000004">
      <c r="A52" t="s">
        <v>80</v>
      </c>
      <c r="B52">
        <v>25</v>
      </c>
      <c r="C52" t="s">
        <v>20</v>
      </c>
      <c r="D52" t="s">
        <v>23</v>
      </c>
      <c r="E52">
        <v>9745465</v>
      </c>
      <c r="F52">
        <v>7</v>
      </c>
      <c r="G52">
        <v>43409</v>
      </c>
      <c r="H52" t="s">
        <v>14</v>
      </c>
      <c r="I52" t="s">
        <v>14</v>
      </c>
      <c r="J52">
        <v>45</v>
      </c>
      <c r="K52" t="s">
        <v>15</v>
      </c>
    </row>
    <row r="53" spans="1:11" x14ac:dyDescent="0.55000000000000004">
      <c r="A53" t="s">
        <v>81</v>
      </c>
      <c r="B53">
        <v>53</v>
      </c>
      <c r="C53" t="s">
        <v>32</v>
      </c>
      <c r="D53" t="s">
        <v>36</v>
      </c>
      <c r="E53">
        <v>6155396</v>
      </c>
      <c r="F53">
        <v>57</v>
      </c>
      <c r="G53">
        <v>41066</v>
      </c>
      <c r="H53" t="s">
        <v>14</v>
      </c>
      <c r="I53" t="s">
        <v>24</v>
      </c>
      <c r="J53">
        <v>80</v>
      </c>
      <c r="K53" t="s">
        <v>15</v>
      </c>
    </row>
    <row r="54" spans="1:11" x14ac:dyDescent="0.55000000000000004">
      <c r="A54" t="s">
        <v>82</v>
      </c>
      <c r="B54">
        <v>44</v>
      </c>
      <c r="C54" t="s">
        <v>32</v>
      </c>
      <c r="D54" t="s">
        <v>36</v>
      </c>
      <c r="E54">
        <v>7651517</v>
      </c>
      <c r="F54">
        <v>54</v>
      </c>
      <c r="G54">
        <v>289802</v>
      </c>
      <c r="H54" t="s">
        <v>14</v>
      </c>
      <c r="I54" t="s">
        <v>24</v>
      </c>
      <c r="J54">
        <v>100</v>
      </c>
      <c r="K54" t="s">
        <v>25</v>
      </c>
    </row>
    <row r="55" spans="1:11" x14ac:dyDescent="0.55000000000000004">
      <c r="A55" t="s">
        <v>83</v>
      </c>
      <c r="B55">
        <v>60</v>
      </c>
      <c r="C55" t="s">
        <v>20</v>
      </c>
      <c r="D55" t="s">
        <v>28</v>
      </c>
      <c r="E55">
        <v>9604682</v>
      </c>
      <c r="F55">
        <v>20</v>
      </c>
      <c r="G55">
        <v>493508</v>
      </c>
      <c r="H55" t="s">
        <v>14</v>
      </c>
      <c r="I55" t="s">
        <v>14</v>
      </c>
      <c r="J55">
        <v>50</v>
      </c>
      <c r="K55" t="s">
        <v>15</v>
      </c>
    </row>
    <row r="56" spans="1:11" x14ac:dyDescent="0.55000000000000004">
      <c r="A56" t="s">
        <v>84</v>
      </c>
      <c r="B56">
        <v>29</v>
      </c>
      <c r="C56" t="s">
        <v>32</v>
      </c>
      <c r="D56" t="s">
        <v>13</v>
      </c>
      <c r="E56">
        <v>2095765</v>
      </c>
      <c r="F56">
        <v>48</v>
      </c>
      <c r="G56">
        <v>295048</v>
      </c>
      <c r="H56" t="s">
        <v>14</v>
      </c>
      <c r="I56" t="s">
        <v>24</v>
      </c>
      <c r="J56">
        <v>85</v>
      </c>
      <c r="K56" t="s">
        <v>25</v>
      </c>
    </row>
    <row r="57" spans="1:11" x14ac:dyDescent="0.55000000000000004">
      <c r="A57" t="s">
        <v>85</v>
      </c>
      <c r="B57">
        <v>39</v>
      </c>
      <c r="C57" t="s">
        <v>22</v>
      </c>
      <c r="D57" t="s">
        <v>28</v>
      </c>
      <c r="E57">
        <v>6052576</v>
      </c>
      <c r="F57">
        <v>14</v>
      </c>
      <c r="G57">
        <v>365446</v>
      </c>
      <c r="H57" t="s">
        <v>14</v>
      </c>
      <c r="I57" t="s">
        <v>14</v>
      </c>
      <c r="J57">
        <v>50</v>
      </c>
      <c r="K57" t="s">
        <v>15</v>
      </c>
    </row>
    <row r="58" spans="1:11" x14ac:dyDescent="0.55000000000000004">
      <c r="A58" t="s">
        <v>86</v>
      </c>
      <c r="B58">
        <v>37</v>
      </c>
      <c r="C58" t="s">
        <v>45</v>
      </c>
      <c r="D58" t="s">
        <v>41</v>
      </c>
      <c r="E58">
        <v>1152264</v>
      </c>
      <c r="F58">
        <v>6</v>
      </c>
      <c r="G58">
        <v>337547</v>
      </c>
      <c r="H58" t="s">
        <v>14</v>
      </c>
      <c r="I58" t="s">
        <v>14</v>
      </c>
      <c r="J58">
        <v>70</v>
      </c>
      <c r="K58" t="s">
        <v>15</v>
      </c>
    </row>
    <row r="59" spans="1:11" x14ac:dyDescent="0.55000000000000004">
      <c r="A59" t="s">
        <v>87</v>
      </c>
      <c r="B59">
        <v>38</v>
      </c>
      <c r="C59" t="s">
        <v>20</v>
      </c>
      <c r="D59" t="s">
        <v>13</v>
      </c>
      <c r="E59">
        <v>5896150</v>
      </c>
      <c r="F59">
        <v>50</v>
      </c>
      <c r="G59">
        <v>73587</v>
      </c>
      <c r="H59" t="s">
        <v>14</v>
      </c>
      <c r="I59" t="s">
        <v>14</v>
      </c>
      <c r="J59">
        <v>45</v>
      </c>
      <c r="K59" t="s">
        <v>15</v>
      </c>
    </row>
    <row r="60" spans="1:11" x14ac:dyDescent="0.55000000000000004">
      <c r="A60" t="s">
        <v>88</v>
      </c>
      <c r="B60">
        <v>37</v>
      </c>
      <c r="C60" t="s">
        <v>27</v>
      </c>
      <c r="D60" t="s">
        <v>28</v>
      </c>
      <c r="E60">
        <v>7712769</v>
      </c>
      <c r="F60">
        <v>36</v>
      </c>
      <c r="G60">
        <v>374972</v>
      </c>
      <c r="H60" t="s">
        <v>14</v>
      </c>
      <c r="I60" t="s">
        <v>14</v>
      </c>
      <c r="J60">
        <v>60</v>
      </c>
      <c r="K60" t="s">
        <v>15</v>
      </c>
    </row>
    <row r="61" spans="1:11" x14ac:dyDescent="0.55000000000000004">
      <c r="A61" t="s">
        <v>89</v>
      </c>
      <c r="B61">
        <v>21</v>
      </c>
      <c r="C61" t="s">
        <v>12</v>
      </c>
      <c r="D61" t="s">
        <v>13</v>
      </c>
      <c r="E61">
        <v>2800715</v>
      </c>
      <c r="F61">
        <v>35</v>
      </c>
      <c r="G61">
        <v>23889</v>
      </c>
      <c r="H61" t="s">
        <v>14</v>
      </c>
      <c r="I61" t="s">
        <v>14</v>
      </c>
      <c r="J61">
        <v>35</v>
      </c>
      <c r="K61" t="s">
        <v>18</v>
      </c>
    </row>
    <row r="62" spans="1:11" x14ac:dyDescent="0.55000000000000004">
      <c r="A62" t="s">
        <v>90</v>
      </c>
      <c r="B62">
        <v>58</v>
      </c>
      <c r="C62" t="s">
        <v>27</v>
      </c>
      <c r="D62" t="s">
        <v>23</v>
      </c>
      <c r="E62">
        <v>2438181</v>
      </c>
      <c r="F62">
        <v>3</v>
      </c>
      <c r="G62">
        <v>166616</v>
      </c>
      <c r="H62" t="s">
        <v>14</v>
      </c>
      <c r="I62" t="s">
        <v>14</v>
      </c>
      <c r="J62">
        <v>65</v>
      </c>
      <c r="K62" t="s">
        <v>15</v>
      </c>
    </row>
    <row r="63" spans="1:11" x14ac:dyDescent="0.55000000000000004">
      <c r="A63" t="s">
        <v>91</v>
      </c>
      <c r="B63">
        <v>71</v>
      </c>
      <c r="C63" t="s">
        <v>20</v>
      </c>
      <c r="D63" t="s">
        <v>41</v>
      </c>
      <c r="E63">
        <v>3824499</v>
      </c>
      <c r="F63">
        <v>44</v>
      </c>
      <c r="G63">
        <v>135825</v>
      </c>
      <c r="H63" t="s">
        <v>14</v>
      </c>
      <c r="I63" t="s">
        <v>14</v>
      </c>
      <c r="J63">
        <v>90</v>
      </c>
      <c r="K63" t="s">
        <v>25</v>
      </c>
    </row>
    <row r="64" spans="1:11" x14ac:dyDescent="0.55000000000000004">
      <c r="A64" t="s">
        <v>92</v>
      </c>
      <c r="B64">
        <v>43</v>
      </c>
      <c r="C64" t="s">
        <v>40</v>
      </c>
      <c r="D64" t="s">
        <v>17</v>
      </c>
      <c r="E64">
        <v>2892974</v>
      </c>
      <c r="F64">
        <v>60</v>
      </c>
      <c r="G64">
        <v>492525</v>
      </c>
      <c r="H64" t="s">
        <v>14</v>
      </c>
      <c r="I64" t="s">
        <v>24</v>
      </c>
      <c r="J64">
        <v>85</v>
      </c>
      <c r="K64" t="s">
        <v>25</v>
      </c>
    </row>
    <row r="65" spans="1:11" x14ac:dyDescent="0.55000000000000004">
      <c r="A65" t="s">
        <v>93</v>
      </c>
      <c r="B65">
        <v>31</v>
      </c>
      <c r="C65" t="s">
        <v>27</v>
      </c>
      <c r="D65" t="s">
        <v>23</v>
      </c>
      <c r="E65">
        <v>715846</v>
      </c>
      <c r="F65">
        <v>12</v>
      </c>
      <c r="G65">
        <v>391171</v>
      </c>
      <c r="H65" t="s">
        <v>14</v>
      </c>
      <c r="I65" t="s">
        <v>14</v>
      </c>
      <c r="J65">
        <v>75</v>
      </c>
      <c r="K65" t="s">
        <v>15</v>
      </c>
    </row>
    <row r="66" spans="1:11" x14ac:dyDescent="0.55000000000000004">
      <c r="A66" t="s">
        <v>94</v>
      </c>
      <c r="B66">
        <v>71</v>
      </c>
      <c r="C66" t="s">
        <v>40</v>
      </c>
      <c r="D66" t="s">
        <v>28</v>
      </c>
      <c r="E66">
        <v>4463555</v>
      </c>
      <c r="F66">
        <v>18</v>
      </c>
      <c r="G66">
        <v>88465</v>
      </c>
      <c r="H66" t="s">
        <v>14</v>
      </c>
      <c r="I66" t="s">
        <v>24</v>
      </c>
      <c r="J66">
        <v>70</v>
      </c>
      <c r="K66" t="s">
        <v>15</v>
      </c>
    </row>
    <row r="67" spans="1:11" x14ac:dyDescent="0.55000000000000004">
      <c r="A67" t="s">
        <v>95</v>
      </c>
      <c r="B67">
        <v>27</v>
      </c>
      <c r="C67" t="s">
        <v>40</v>
      </c>
      <c r="D67" t="s">
        <v>13</v>
      </c>
      <c r="E67">
        <v>8196868</v>
      </c>
      <c r="F67">
        <v>15</v>
      </c>
      <c r="G67">
        <v>109633</v>
      </c>
      <c r="H67" t="s">
        <v>14</v>
      </c>
      <c r="I67" t="s">
        <v>24</v>
      </c>
      <c r="J67">
        <v>75</v>
      </c>
      <c r="K67" t="s">
        <v>15</v>
      </c>
    </row>
    <row r="68" spans="1:11" x14ac:dyDescent="0.55000000000000004">
      <c r="A68" t="s">
        <v>96</v>
      </c>
      <c r="B68">
        <v>50</v>
      </c>
      <c r="C68" t="s">
        <v>30</v>
      </c>
      <c r="D68" t="s">
        <v>41</v>
      </c>
      <c r="E68">
        <v>4118418</v>
      </c>
      <c r="F68">
        <v>15</v>
      </c>
      <c r="G68">
        <v>17406</v>
      </c>
      <c r="H68" t="s">
        <v>14</v>
      </c>
      <c r="I68" t="s">
        <v>24</v>
      </c>
      <c r="J68">
        <v>90</v>
      </c>
      <c r="K68" t="s">
        <v>25</v>
      </c>
    </row>
    <row r="69" spans="1:11" x14ac:dyDescent="0.55000000000000004">
      <c r="A69" t="s">
        <v>97</v>
      </c>
      <c r="B69">
        <v>46</v>
      </c>
      <c r="C69" t="s">
        <v>30</v>
      </c>
      <c r="D69" t="s">
        <v>41</v>
      </c>
      <c r="E69">
        <v>1464686</v>
      </c>
      <c r="F69">
        <v>50</v>
      </c>
      <c r="G69">
        <v>151341</v>
      </c>
      <c r="H69" t="s">
        <v>14</v>
      </c>
      <c r="I69" t="s">
        <v>24</v>
      </c>
      <c r="J69">
        <v>120</v>
      </c>
      <c r="K69" t="s">
        <v>25</v>
      </c>
    </row>
    <row r="70" spans="1:11" x14ac:dyDescent="0.55000000000000004">
      <c r="A70" t="s">
        <v>98</v>
      </c>
      <c r="B70">
        <v>53</v>
      </c>
      <c r="C70" t="s">
        <v>40</v>
      </c>
      <c r="D70" t="s">
        <v>28</v>
      </c>
      <c r="E70">
        <v>9296207</v>
      </c>
      <c r="F70">
        <v>22</v>
      </c>
      <c r="G70">
        <v>497430</v>
      </c>
      <c r="H70" t="s">
        <v>24</v>
      </c>
      <c r="I70" t="s">
        <v>24</v>
      </c>
      <c r="J70">
        <v>120</v>
      </c>
      <c r="K70" t="s">
        <v>25</v>
      </c>
    </row>
    <row r="71" spans="1:11" x14ac:dyDescent="0.55000000000000004">
      <c r="A71" t="s">
        <v>99</v>
      </c>
      <c r="B71">
        <v>37</v>
      </c>
      <c r="C71" t="s">
        <v>27</v>
      </c>
      <c r="D71" t="s">
        <v>17</v>
      </c>
      <c r="E71">
        <v>4753786</v>
      </c>
      <c r="F71">
        <v>3</v>
      </c>
      <c r="G71">
        <v>61834</v>
      </c>
      <c r="H71" t="s">
        <v>14</v>
      </c>
      <c r="I71" t="s">
        <v>14</v>
      </c>
      <c r="J71">
        <v>25</v>
      </c>
      <c r="K71" t="s">
        <v>18</v>
      </c>
    </row>
    <row r="72" spans="1:11" x14ac:dyDescent="0.55000000000000004">
      <c r="A72" t="s">
        <v>100</v>
      </c>
      <c r="B72">
        <v>43</v>
      </c>
      <c r="C72" t="s">
        <v>30</v>
      </c>
      <c r="D72" t="s">
        <v>23</v>
      </c>
      <c r="E72">
        <v>8880255</v>
      </c>
      <c r="F72">
        <v>8</v>
      </c>
      <c r="G72">
        <v>206953</v>
      </c>
      <c r="H72" t="s">
        <v>14</v>
      </c>
      <c r="I72" t="s">
        <v>24</v>
      </c>
      <c r="J72">
        <v>95</v>
      </c>
      <c r="K72" t="s">
        <v>25</v>
      </c>
    </row>
    <row r="73" spans="1:11" x14ac:dyDescent="0.55000000000000004">
      <c r="A73" t="s">
        <v>101</v>
      </c>
      <c r="B73">
        <v>33</v>
      </c>
      <c r="C73" t="s">
        <v>32</v>
      </c>
      <c r="D73" t="s">
        <v>13</v>
      </c>
      <c r="E73">
        <v>7615831</v>
      </c>
      <c r="F73">
        <v>1</v>
      </c>
      <c r="G73">
        <v>277587</v>
      </c>
      <c r="H73" t="s">
        <v>14</v>
      </c>
      <c r="I73" t="s">
        <v>24</v>
      </c>
      <c r="J73">
        <v>65</v>
      </c>
      <c r="K73" t="s">
        <v>15</v>
      </c>
    </row>
    <row r="74" spans="1:11" x14ac:dyDescent="0.55000000000000004">
      <c r="A74" t="s">
        <v>102</v>
      </c>
      <c r="B74">
        <v>55</v>
      </c>
      <c r="C74" t="s">
        <v>22</v>
      </c>
      <c r="D74" t="s">
        <v>41</v>
      </c>
      <c r="E74">
        <v>7535969</v>
      </c>
      <c r="F74">
        <v>5</v>
      </c>
      <c r="G74">
        <v>353251</v>
      </c>
      <c r="H74" t="s">
        <v>14</v>
      </c>
      <c r="I74" t="s">
        <v>14</v>
      </c>
      <c r="J74">
        <v>70</v>
      </c>
      <c r="K74" t="s">
        <v>15</v>
      </c>
    </row>
    <row r="75" spans="1:11" x14ac:dyDescent="0.55000000000000004">
      <c r="A75" t="s">
        <v>103</v>
      </c>
      <c r="B75">
        <v>60</v>
      </c>
      <c r="C75" t="s">
        <v>30</v>
      </c>
      <c r="D75" t="s">
        <v>28</v>
      </c>
      <c r="E75">
        <v>2390865</v>
      </c>
      <c r="F75">
        <v>47</v>
      </c>
      <c r="G75">
        <v>476883</v>
      </c>
      <c r="H75" t="s">
        <v>14</v>
      </c>
      <c r="I75" t="s">
        <v>24</v>
      </c>
      <c r="J75">
        <v>90</v>
      </c>
      <c r="K75" t="s">
        <v>25</v>
      </c>
    </row>
    <row r="76" spans="1:11" x14ac:dyDescent="0.55000000000000004">
      <c r="A76" t="s">
        <v>104</v>
      </c>
      <c r="B76">
        <v>40</v>
      </c>
      <c r="C76" t="s">
        <v>40</v>
      </c>
      <c r="D76" t="s">
        <v>41</v>
      </c>
      <c r="E76">
        <v>7051158</v>
      </c>
      <c r="F76">
        <v>45</v>
      </c>
      <c r="G76">
        <v>160008</v>
      </c>
      <c r="H76" t="s">
        <v>14</v>
      </c>
      <c r="I76" t="s">
        <v>24</v>
      </c>
      <c r="J76">
        <v>120</v>
      </c>
      <c r="K76" t="s">
        <v>25</v>
      </c>
    </row>
    <row r="77" spans="1:11" x14ac:dyDescent="0.55000000000000004">
      <c r="A77" t="s">
        <v>105</v>
      </c>
      <c r="B77">
        <v>33</v>
      </c>
      <c r="C77" t="s">
        <v>40</v>
      </c>
      <c r="D77" t="s">
        <v>28</v>
      </c>
      <c r="E77">
        <v>6661002</v>
      </c>
      <c r="F77">
        <v>44</v>
      </c>
      <c r="G77">
        <v>397237</v>
      </c>
      <c r="H77" t="s">
        <v>14</v>
      </c>
      <c r="I77" t="s">
        <v>24</v>
      </c>
      <c r="J77">
        <v>90</v>
      </c>
      <c r="K77" t="s">
        <v>25</v>
      </c>
    </row>
    <row r="78" spans="1:11" x14ac:dyDescent="0.55000000000000004">
      <c r="A78" t="s">
        <v>106</v>
      </c>
      <c r="B78">
        <v>60</v>
      </c>
      <c r="C78" t="s">
        <v>32</v>
      </c>
      <c r="D78" t="s">
        <v>23</v>
      </c>
      <c r="E78">
        <v>9492860</v>
      </c>
      <c r="F78">
        <v>54</v>
      </c>
      <c r="G78">
        <v>5212</v>
      </c>
      <c r="H78" t="s">
        <v>14</v>
      </c>
      <c r="I78" t="s">
        <v>24</v>
      </c>
      <c r="J78">
        <v>95</v>
      </c>
      <c r="K78" t="s">
        <v>25</v>
      </c>
    </row>
    <row r="79" spans="1:11" x14ac:dyDescent="0.55000000000000004">
      <c r="A79" t="s">
        <v>107</v>
      </c>
      <c r="B79">
        <v>34</v>
      </c>
      <c r="C79" t="s">
        <v>40</v>
      </c>
      <c r="D79" t="s">
        <v>17</v>
      </c>
      <c r="E79">
        <v>5706444</v>
      </c>
      <c r="F79">
        <v>30</v>
      </c>
      <c r="G79">
        <v>236623</v>
      </c>
      <c r="H79" t="s">
        <v>14</v>
      </c>
      <c r="I79" t="s">
        <v>24</v>
      </c>
      <c r="J79">
        <v>75</v>
      </c>
      <c r="K79" t="s">
        <v>15</v>
      </c>
    </row>
    <row r="80" spans="1:11" x14ac:dyDescent="0.55000000000000004">
      <c r="A80" t="s">
        <v>108</v>
      </c>
      <c r="B80">
        <v>34</v>
      </c>
      <c r="C80" t="s">
        <v>45</v>
      </c>
      <c r="D80" t="s">
        <v>28</v>
      </c>
      <c r="E80">
        <v>3146949</v>
      </c>
      <c r="F80">
        <v>43</v>
      </c>
      <c r="G80">
        <v>49457</v>
      </c>
      <c r="H80" t="s">
        <v>14</v>
      </c>
      <c r="I80" t="s">
        <v>14</v>
      </c>
      <c r="J80">
        <v>40</v>
      </c>
      <c r="K80" t="s">
        <v>18</v>
      </c>
    </row>
    <row r="81" spans="1:11" x14ac:dyDescent="0.55000000000000004">
      <c r="A81" t="s">
        <v>109</v>
      </c>
      <c r="B81">
        <v>63</v>
      </c>
      <c r="C81" t="s">
        <v>30</v>
      </c>
      <c r="D81" t="s">
        <v>13</v>
      </c>
      <c r="E81">
        <v>4240441</v>
      </c>
      <c r="F81">
        <v>44</v>
      </c>
      <c r="G81">
        <v>167749</v>
      </c>
      <c r="H81" t="s">
        <v>14</v>
      </c>
      <c r="I81" t="s">
        <v>24</v>
      </c>
      <c r="J81">
        <v>85</v>
      </c>
      <c r="K81" t="s">
        <v>25</v>
      </c>
    </row>
    <row r="82" spans="1:11" x14ac:dyDescent="0.55000000000000004">
      <c r="A82" t="s">
        <v>110</v>
      </c>
      <c r="B82">
        <v>33</v>
      </c>
      <c r="C82" t="s">
        <v>27</v>
      </c>
      <c r="D82" t="s">
        <v>13</v>
      </c>
      <c r="E82">
        <v>1075337</v>
      </c>
      <c r="F82">
        <v>16</v>
      </c>
      <c r="G82">
        <v>254108</v>
      </c>
      <c r="H82" t="s">
        <v>14</v>
      </c>
      <c r="I82" t="s">
        <v>14</v>
      </c>
      <c r="J82">
        <v>45</v>
      </c>
      <c r="K82" t="s">
        <v>15</v>
      </c>
    </row>
    <row r="83" spans="1:11" x14ac:dyDescent="0.55000000000000004">
      <c r="A83" t="s">
        <v>111</v>
      </c>
      <c r="B83">
        <v>70</v>
      </c>
      <c r="C83" t="s">
        <v>12</v>
      </c>
      <c r="D83" t="s">
        <v>23</v>
      </c>
      <c r="E83">
        <v>7253166</v>
      </c>
      <c r="F83">
        <v>57</v>
      </c>
      <c r="G83">
        <v>335178</v>
      </c>
      <c r="H83" t="s">
        <v>14</v>
      </c>
      <c r="I83" t="s">
        <v>14</v>
      </c>
      <c r="J83">
        <v>85</v>
      </c>
      <c r="K83" t="s">
        <v>25</v>
      </c>
    </row>
    <row r="84" spans="1:11" x14ac:dyDescent="0.55000000000000004">
      <c r="A84" t="s">
        <v>112</v>
      </c>
      <c r="B84">
        <v>66</v>
      </c>
      <c r="C84" t="s">
        <v>40</v>
      </c>
      <c r="D84" t="s">
        <v>23</v>
      </c>
      <c r="E84">
        <v>7005062</v>
      </c>
      <c r="F84">
        <v>16</v>
      </c>
      <c r="G84">
        <v>82369</v>
      </c>
      <c r="H84" t="s">
        <v>14</v>
      </c>
      <c r="I84" t="s">
        <v>24</v>
      </c>
      <c r="J84">
        <v>95</v>
      </c>
      <c r="K84" t="s">
        <v>25</v>
      </c>
    </row>
    <row r="85" spans="1:11" x14ac:dyDescent="0.55000000000000004">
      <c r="A85" t="s">
        <v>113</v>
      </c>
      <c r="B85">
        <v>21</v>
      </c>
      <c r="C85" t="s">
        <v>12</v>
      </c>
      <c r="D85" t="s">
        <v>23</v>
      </c>
      <c r="E85">
        <v>3971545</v>
      </c>
      <c r="F85">
        <v>12</v>
      </c>
      <c r="G85">
        <v>426585</v>
      </c>
      <c r="H85" t="s">
        <v>14</v>
      </c>
      <c r="I85" t="s">
        <v>14</v>
      </c>
      <c r="J85">
        <v>75</v>
      </c>
      <c r="K85" t="s">
        <v>15</v>
      </c>
    </row>
    <row r="86" spans="1:11" x14ac:dyDescent="0.55000000000000004">
      <c r="A86" t="s">
        <v>114</v>
      </c>
      <c r="B86">
        <v>54</v>
      </c>
      <c r="C86" t="s">
        <v>45</v>
      </c>
      <c r="D86" t="s">
        <v>13</v>
      </c>
      <c r="E86">
        <v>9651717</v>
      </c>
      <c r="F86">
        <v>16</v>
      </c>
      <c r="G86">
        <v>486018</v>
      </c>
      <c r="H86" t="s">
        <v>14</v>
      </c>
      <c r="I86" t="s">
        <v>14</v>
      </c>
      <c r="J86">
        <v>45</v>
      </c>
      <c r="K86" t="s">
        <v>15</v>
      </c>
    </row>
    <row r="87" spans="1:11" x14ac:dyDescent="0.55000000000000004">
      <c r="A87" t="s">
        <v>115</v>
      </c>
      <c r="B87">
        <v>50</v>
      </c>
      <c r="C87" t="s">
        <v>27</v>
      </c>
      <c r="D87" t="s">
        <v>23</v>
      </c>
      <c r="E87">
        <v>9210914</v>
      </c>
      <c r="F87">
        <v>36</v>
      </c>
      <c r="G87">
        <v>317188</v>
      </c>
      <c r="H87" t="s">
        <v>14</v>
      </c>
      <c r="I87" t="s">
        <v>14</v>
      </c>
      <c r="J87">
        <v>85</v>
      </c>
      <c r="K87" t="s">
        <v>25</v>
      </c>
    </row>
    <row r="88" spans="1:11" x14ac:dyDescent="0.55000000000000004">
      <c r="A88" t="s">
        <v>116</v>
      </c>
      <c r="B88">
        <v>69</v>
      </c>
      <c r="C88" t="s">
        <v>45</v>
      </c>
      <c r="D88" t="s">
        <v>17</v>
      </c>
      <c r="E88">
        <v>8768772</v>
      </c>
      <c r="F88">
        <v>28</v>
      </c>
      <c r="G88">
        <v>440457</v>
      </c>
      <c r="H88" t="s">
        <v>14</v>
      </c>
      <c r="I88" t="s">
        <v>14</v>
      </c>
      <c r="J88">
        <v>45</v>
      </c>
      <c r="K88" t="s">
        <v>15</v>
      </c>
    </row>
    <row r="89" spans="1:11" x14ac:dyDescent="0.55000000000000004">
      <c r="A89" t="s">
        <v>117</v>
      </c>
      <c r="B89">
        <v>49</v>
      </c>
      <c r="C89" t="s">
        <v>27</v>
      </c>
      <c r="D89" t="s">
        <v>28</v>
      </c>
      <c r="E89">
        <v>8263715</v>
      </c>
      <c r="F89">
        <v>29</v>
      </c>
      <c r="G89">
        <v>140891</v>
      </c>
      <c r="H89" t="s">
        <v>14</v>
      </c>
      <c r="I89" t="s">
        <v>14</v>
      </c>
      <c r="J89">
        <v>50</v>
      </c>
      <c r="K89" t="s">
        <v>15</v>
      </c>
    </row>
    <row r="90" spans="1:11" x14ac:dyDescent="0.55000000000000004">
      <c r="A90" t="s">
        <v>118</v>
      </c>
      <c r="B90">
        <v>74</v>
      </c>
      <c r="C90" t="s">
        <v>32</v>
      </c>
      <c r="D90" t="s">
        <v>17</v>
      </c>
      <c r="E90">
        <v>8430188</v>
      </c>
      <c r="F90">
        <v>41</v>
      </c>
      <c r="G90">
        <v>130433</v>
      </c>
      <c r="H90" t="s">
        <v>14</v>
      </c>
      <c r="I90" t="s">
        <v>24</v>
      </c>
      <c r="J90">
        <v>85</v>
      </c>
      <c r="K90" t="s">
        <v>25</v>
      </c>
    </row>
    <row r="91" spans="1:11" x14ac:dyDescent="0.55000000000000004">
      <c r="A91" t="s">
        <v>119</v>
      </c>
      <c r="B91">
        <v>25</v>
      </c>
      <c r="C91" t="s">
        <v>32</v>
      </c>
      <c r="D91" t="s">
        <v>36</v>
      </c>
      <c r="E91">
        <v>4858623</v>
      </c>
      <c r="F91">
        <v>22</v>
      </c>
      <c r="G91">
        <v>172619</v>
      </c>
      <c r="H91" t="s">
        <v>14</v>
      </c>
      <c r="I91" t="s">
        <v>24</v>
      </c>
      <c r="J91">
        <v>90</v>
      </c>
      <c r="K91" t="s">
        <v>25</v>
      </c>
    </row>
    <row r="92" spans="1:11" x14ac:dyDescent="0.55000000000000004">
      <c r="A92" t="s">
        <v>120</v>
      </c>
      <c r="B92">
        <v>26</v>
      </c>
      <c r="C92" t="s">
        <v>27</v>
      </c>
      <c r="D92" t="s">
        <v>36</v>
      </c>
      <c r="E92">
        <v>4179923</v>
      </c>
      <c r="F92">
        <v>25</v>
      </c>
      <c r="G92">
        <v>368829</v>
      </c>
      <c r="H92" t="s">
        <v>14</v>
      </c>
      <c r="I92" t="s">
        <v>14</v>
      </c>
      <c r="J92">
        <v>60</v>
      </c>
      <c r="K92" t="s">
        <v>15</v>
      </c>
    </row>
    <row r="93" spans="1:11" x14ac:dyDescent="0.55000000000000004">
      <c r="A93" t="s">
        <v>121</v>
      </c>
      <c r="B93">
        <v>34</v>
      </c>
      <c r="C93" t="s">
        <v>12</v>
      </c>
      <c r="D93" t="s">
        <v>23</v>
      </c>
      <c r="E93">
        <v>7138382</v>
      </c>
      <c r="F93">
        <v>22</v>
      </c>
      <c r="G93">
        <v>289484</v>
      </c>
      <c r="H93" t="s">
        <v>14</v>
      </c>
      <c r="I93" t="s">
        <v>14</v>
      </c>
      <c r="J93">
        <v>75</v>
      </c>
      <c r="K93" t="s">
        <v>15</v>
      </c>
    </row>
    <row r="94" spans="1:11" x14ac:dyDescent="0.55000000000000004">
      <c r="A94" t="s">
        <v>122</v>
      </c>
      <c r="B94">
        <v>24</v>
      </c>
      <c r="C94" t="s">
        <v>22</v>
      </c>
      <c r="D94" t="s">
        <v>23</v>
      </c>
      <c r="E94">
        <v>6834336</v>
      </c>
      <c r="F94">
        <v>58</v>
      </c>
      <c r="G94">
        <v>408594</v>
      </c>
      <c r="H94" t="s">
        <v>14</v>
      </c>
      <c r="I94" t="s">
        <v>14</v>
      </c>
      <c r="J94">
        <v>85</v>
      </c>
      <c r="K94" t="s">
        <v>25</v>
      </c>
    </row>
    <row r="95" spans="1:11" x14ac:dyDescent="0.55000000000000004">
      <c r="A95" t="s">
        <v>123</v>
      </c>
      <c r="B95">
        <v>65</v>
      </c>
      <c r="C95" t="s">
        <v>20</v>
      </c>
      <c r="D95" t="s">
        <v>17</v>
      </c>
      <c r="E95">
        <v>6681734</v>
      </c>
      <c r="F95">
        <v>31</v>
      </c>
      <c r="G95">
        <v>8091</v>
      </c>
      <c r="H95" t="s">
        <v>14</v>
      </c>
      <c r="I95" t="s">
        <v>14</v>
      </c>
      <c r="J95">
        <v>35</v>
      </c>
      <c r="K95" t="s">
        <v>18</v>
      </c>
    </row>
    <row r="96" spans="1:11" x14ac:dyDescent="0.55000000000000004">
      <c r="A96" t="s">
        <v>124</v>
      </c>
      <c r="B96">
        <v>40</v>
      </c>
      <c r="C96" t="s">
        <v>40</v>
      </c>
      <c r="D96" t="s">
        <v>23</v>
      </c>
      <c r="E96">
        <v>9329842</v>
      </c>
      <c r="F96">
        <v>48</v>
      </c>
      <c r="G96">
        <v>390159</v>
      </c>
      <c r="H96" t="s">
        <v>14</v>
      </c>
      <c r="I96" t="s">
        <v>24</v>
      </c>
      <c r="J96">
        <v>115</v>
      </c>
      <c r="K96" t="s">
        <v>25</v>
      </c>
    </row>
    <row r="97" spans="1:11" x14ac:dyDescent="0.55000000000000004">
      <c r="A97" t="s">
        <v>125</v>
      </c>
      <c r="B97">
        <v>59</v>
      </c>
      <c r="C97" t="s">
        <v>22</v>
      </c>
      <c r="D97" t="s">
        <v>23</v>
      </c>
      <c r="E97">
        <v>3981284</v>
      </c>
      <c r="F97">
        <v>18</v>
      </c>
      <c r="G97">
        <v>233503</v>
      </c>
      <c r="H97" t="s">
        <v>14</v>
      </c>
      <c r="I97" t="s">
        <v>14</v>
      </c>
      <c r="J97">
        <v>75</v>
      </c>
      <c r="K97" t="s">
        <v>15</v>
      </c>
    </row>
    <row r="98" spans="1:11" x14ac:dyDescent="0.55000000000000004">
      <c r="A98" t="s">
        <v>126</v>
      </c>
      <c r="B98">
        <v>45</v>
      </c>
      <c r="C98" t="s">
        <v>30</v>
      </c>
      <c r="D98" t="s">
        <v>28</v>
      </c>
      <c r="E98">
        <v>7083308</v>
      </c>
      <c r="F98">
        <v>47</v>
      </c>
      <c r="G98">
        <v>91530</v>
      </c>
      <c r="H98" t="s">
        <v>14</v>
      </c>
      <c r="I98" t="s">
        <v>24</v>
      </c>
      <c r="J98">
        <v>80</v>
      </c>
      <c r="K98" t="s">
        <v>15</v>
      </c>
    </row>
    <row r="99" spans="1:11" x14ac:dyDescent="0.55000000000000004">
      <c r="A99" t="s">
        <v>127</v>
      </c>
      <c r="B99">
        <v>29</v>
      </c>
      <c r="C99" t="s">
        <v>20</v>
      </c>
      <c r="D99" t="s">
        <v>23</v>
      </c>
      <c r="E99">
        <v>9768926</v>
      </c>
      <c r="F99">
        <v>43</v>
      </c>
      <c r="G99">
        <v>19209</v>
      </c>
      <c r="H99" t="s">
        <v>14</v>
      </c>
      <c r="I99" t="s">
        <v>14</v>
      </c>
      <c r="J99">
        <v>65</v>
      </c>
      <c r="K99" t="s">
        <v>15</v>
      </c>
    </row>
    <row r="100" spans="1:11" x14ac:dyDescent="0.55000000000000004">
      <c r="A100" t="s">
        <v>128</v>
      </c>
      <c r="B100">
        <v>48</v>
      </c>
      <c r="C100" t="s">
        <v>27</v>
      </c>
      <c r="D100" t="s">
        <v>23</v>
      </c>
      <c r="E100">
        <v>3348907</v>
      </c>
      <c r="F100">
        <v>4</v>
      </c>
      <c r="G100">
        <v>141396</v>
      </c>
      <c r="H100" t="s">
        <v>14</v>
      </c>
      <c r="I100" t="s">
        <v>14</v>
      </c>
      <c r="J100">
        <v>65</v>
      </c>
      <c r="K100" t="s">
        <v>15</v>
      </c>
    </row>
    <row r="101" spans="1:11" x14ac:dyDescent="0.55000000000000004">
      <c r="A101" t="s">
        <v>129</v>
      </c>
      <c r="B101">
        <v>34</v>
      </c>
      <c r="C101" t="s">
        <v>45</v>
      </c>
      <c r="D101" t="s">
        <v>41</v>
      </c>
      <c r="E101">
        <v>5962319</v>
      </c>
      <c r="F101">
        <v>49</v>
      </c>
      <c r="G101">
        <v>466184</v>
      </c>
      <c r="H101" t="s">
        <v>14</v>
      </c>
      <c r="I101" t="s">
        <v>14</v>
      </c>
      <c r="J101">
        <v>90</v>
      </c>
      <c r="K101" t="s">
        <v>25</v>
      </c>
    </row>
    <row r="102" spans="1:11" x14ac:dyDescent="0.55000000000000004">
      <c r="A102" t="s">
        <v>130</v>
      </c>
      <c r="B102">
        <v>69</v>
      </c>
      <c r="C102" t="s">
        <v>40</v>
      </c>
      <c r="D102" t="s">
        <v>41</v>
      </c>
      <c r="E102">
        <v>1674158</v>
      </c>
      <c r="F102">
        <v>31</v>
      </c>
      <c r="G102">
        <v>15162</v>
      </c>
      <c r="H102" t="s">
        <v>14</v>
      </c>
      <c r="I102" t="s">
        <v>24</v>
      </c>
      <c r="J102">
        <v>100</v>
      </c>
      <c r="K102" t="s">
        <v>25</v>
      </c>
    </row>
    <row r="103" spans="1:11" x14ac:dyDescent="0.55000000000000004">
      <c r="A103" t="s">
        <v>131</v>
      </c>
      <c r="B103">
        <v>24</v>
      </c>
      <c r="C103" t="s">
        <v>30</v>
      </c>
      <c r="D103" t="s">
        <v>36</v>
      </c>
      <c r="E103">
        <v>1451225</v>
      </c>
      <c r="F103">
        <v>50</v>
      </c>
      <c r="G103">
        <v>346707</v>
      </c>
      <c r="H103" t="s">
        <v>24</v>
      </c>
      <c r="I103" t="s">
        <v>24</v>
      </c>
      <c r="J103">
        <v>140</v>
      </c>
      <c r="K103" t="s">
        <v>25</v>
      </c>
    </row>
    <row r="104" spans="1:11" x14ac:dyDescent="0.55000000000000004">
      <c r="A104" t="s">
        <v>132</v>
      </c>
      <c r="B104">
        <v>22</v>
      </c>
      <c r="C104" t="s">
        <v>22</v>
      </c>
      <c r="D104" t="s">
        <v>36</v>
      </c>
      <c r="E104">
        <v>641919</v>
      </c>
      <c r="F104">
        <v>40</v>
      </c>
      <c r="G104">
        <v>84892</v>
      </c>
      <c r="H104" t="s">
        <v>14</v>
      </c>
      <c r="I104" t="s">
        <v>14</v>
      </c>
      <c r="J104">
        <v>60</v>
      </c>
      <c r="K104" t="s">
        <v>15</v>
      </c>
    </row>
    <row r="105" spans="1:11" x14ac:dyDescent="0.55000000000000004">
      <c r="A105" t="s">
        <v>133</v>
      </c>
      <c r="B105">
        <v>51</v>
      </c>
      <c r="C105" t="s">
        <v>12</v>
      </c>
      <c r="D105" t="s">
        <v>17</v>
      </c>
      <c r="E105">
        <v>3956838</v>
      </c>
      <c r="F105">
        <v>30</v>
      </c>
      <c r="G105">
        <v>371721</v>
      </c>
      <c r="H105" t="s">
        <v>14</v>
      </c>
      <c r="I105" t="s">
        <v>14</v>
      </c>
      <c r="J105">
        <v>45</v>
      </c>
      <c r="K105" t="s">
        <v>15</v>
      </c>
    </row>
    <row r="106" spans="1:11" x14ac:dyDescent="0.55000000000000004">
      <c r="A106" t="s">
        <v>134</v>
      </c>
      <c r="B106">
        <v>44</v>
      </c>
      <c r="C106" t="s">
        <v>27</v>
      </c>
      <c r="D106" t="s">
        <v>17</v>
      </c>
      <c r="E106">
        <v>2221542</v>
      </c>
      <c r="F106">
        <v>50</v>
      </c>
      <c r="G106">
        <v>434549</v>
      </c>
      <c r="H106" t="s">
        <v>14</v>
      </c>
      <c r="I106" t="s">
        <v>14</v>
      </c>
      <c r="J106">
        <v>55</v>
      </c>
      <c r="K106" t="s">
        <v>15</v>
      </c>
    </row>
    <row r="107" spans="1:11" x14ac:dyDescent="0.55000000000000004">
      <c r="A107" t="s">
        <v>135</v>
      </c>
      <c r="B107">
        <v>40</v>
      </c>
      <c r="C107" t="s">
        <v>12</v>
      </c>
      <c r="D107" t="s">
        <v>17</v>
      </c>
      <c r="E107">
        <v>730812</v>
      </c>
      <c r="F107">
        <v>60</v>
      </c>
      <c r="G107">
        <v>168555</v>
      </c>
      <c r="H107" t="s">
        <v>14</v>
      </c>
      <c r="I107" t="s">
        <v>14</v>
      </c>
      <c r="J107">
        <v>55</v>
      </c>
      <c r="K107" t="s">
        <v>15</v>
      </c>
    </row>
    <row r="108" spans="1:11" x14ac:dyDescent="0.55000000000000004">
      <c r="A108" t="s">
        <v>136</v>
      </c>
      <c r="B108">
        <v>45</v>
      </c>
      <c r="C108" t="s">
        <v>40</v>
      </c>
      <c r="D108" t="s">
        <v>28</v>
      </c>
      <c r="E108">
        <v>3627421</v>
      </c>
      <c r="F108">
        <v>5</v>
      </c>
      <c r="G108">
        <v>315429</v>
      </c>
      <c r="H108" t="s">
        <v>14</v>
      </c>
      <c r="I108" t="s">
        <v>24</v>
      </c>
      <c r="J108">
        <v>70</v>
      </c>
      <c r="K108" t="s">
        <v>15</v>
      </c>
    </row>
    <row r="109" spans="1:11" x14ac:dyDescent="0.55000000000000004">
      <c r="A109" t="s">
        <v>137</v>
      </c>
      <c r="B109">
        <v>61</v>
      </c>
      <c r="C109" t="s">
        <v>22</v>
      </c>
      <c r="D109" t="s">
        <v>13</v>
      </c>
      <c r="E109">
        <v>5359717</v>
      </c>
      <c r="F109">
        <v>55</v>
      </c>
      <c r="G109">
        <v>363748</v>
      </c>
      <c r="H109" t="s">
        <v>14</v>
      </c>
      <c r="I109" t="s">
        <v>14</v>
      </c>
      <c r="J109">
        <v>55</v>
      </c>
      <c r="K109" t="s">
        <v>15</v>
      </c>
    </row>
    <row r="110" spans="1:11" x14ac:dyDescent="0.55000000000000004">
      <c r="A110" t="s">
        <v>138</v>
      </c>
      <c r="B110">
        <v>28</v>
      </c>
      <c r="C110" t="s">
        <v>20</v>
      </c>
      <c r="D110" t="s">
        <v>41</v>
      </c>
      <c r="E110">
        <v>9237982</v>
      </c>
      <c r="F110">
        <v>28</v>
      </c>
      <c r="G110">
        <v>351827</v>
      </c>
      <c r="H110" t="s">
        <v>14</v>
      </c>
      <c r="I110" t="s">
        <v>14</v>
      </c>
      <c r="J110">
        <v>80</v>
      </c>
      <c r="K110" t="s">
        <v>15</v>
      </c>
    </row>
    <row r="111" spans="1:11" x14ac:dyDescent="0.55000000000000004">
      <c r="A111" t="s">
        <v>139</v>
      </c>
      <c r="B111">
        <v>53</v>
      </c>
      <c r="C111" t="s">
        <v>30</v>
      </c>
      <c r="D111" t="s">
        <v>13</v>
      </c>
      <c r="E111">
        <v>7347416</v>
      </c>
      <c r="F111">
        <v>53</v>
      </c>
      <c r="G111">
        <v>262006</v>
      </c>
      <c r="H111" t="s">
        <v>14</v>
      </c>
      <c r="I111" t="s">
        <v>24</v>
      </c>
      <c r="J111">
        <v>85</v>
      </c>
      <c r="K111" t="s">
        <v>25</v>
      </c>
    </row>
    <row r="112" spans="1:11" x14ac:dyDescent="0.55000000000000004">
      <c r="A112" t="s">
        <v>140</v>
      </c>
      <c r="B112">
        <v>44</v>
      </c>
      <c r="C112" t="s">
        <v>45</v>
      </c>
      <c r="D112" t="s">
        <v>28</v>
      </c>
      <c r="E112">
        <v>2866765</v>
      </c>
      <c r="F112">
        <v>28</v>
      </c>
      <c r="G112">
        <v>97346</v>
      </c>
      <c r="H112" t="s">
        <v>14</v>
      </c>
      <c r="I112" t="s">
        <v>14</v>
      </c>
      <c r="J112">
        <v>40</v>
      </c>
      <c r="K112" t="s">
        <v>18</v>
      </c>
    </row>
    <row r="113" spans="1:11" x14ac:dyDescent="0.55000000000000004">
      <c r="A113" t="s">
        <v>141</v>
      </c>
      <c r="B113">
        <v>62</v>
      </c>
      <c r="C113" t="s">
        <v>32</v>
      </c>
      <c r="D113" t="s">
        <v>17</v>
      </c>
      <c r="E113">
        <v>9329043</v>
      </c>
      <c r="F113">
        <v>50</v>
      </c>
      <c r="G113">
        <v>258491</v>
      </c>
      <c r="H113" t="s">
        <v>14</v>
      </c>
      <c r="I113" t="s">
        <v>24</v>
      </c>
      <c r="J113">
        <v>85</v>
      </c>
      <c r="K113" t="s">
        <v>25</v>
      </c>
    </row>
    <row r="114" spans="1:11" x14ac:dyDescent="0.55000000000000004">
      <c r="A114" t="s">
        <v>142</v>
      </c>
      <c r="B114">
        <v>73</v>
      </c>
      <c r="C114" t="s">
        <v>32</v>
      </c>
      <c r="D114" t="s">
        <v>41</v>
      </c>
      <c r="E114">
        <v>4418725</v>
      </c>
      <c r="F114">
        <v>54</v>
      </c>
      <c r="G114">
        <v>495011</v>
      </c>
      <c r="H114" t="s">
        <v>14</v>
      </c>
      <c r="I114" t="s">
        <v>24</v>
      </c>
      <c r="J114">
        <v>120</v>
      </c>
      <c r="K114" t="s">
        <v>25</v>
      </c>
    </row>
    <row r="115" spans="1:11" x14ac:dyDescent="0.55000000000000004">
      <c r="A115" t="s">
        <v>143</v>
      </c>
      <c r="B115">
        <v>49</v>
      </c>
      <c r="C115" t="s">
        <v>22</v>
      </c>
      <c r="D115" t="s">
        <v>23</v>
      </c>
      <c r="E115">
        <v>9860490</v>
      </c>
      <c r="F115">
        <v>40</v>
      </c>
      <c r="G115">
        <v>355323</v>
      </c>
      <c r="H115" t="s">
        <v>14</v>
      </c>
      <c r="I115" t="s">
        <v>14</v>
      </c>
      <c r="J115">
        <v>85</v>
      </c>
      <c r="K115" t="s">
        <v>25</v>
      </c>
    </row>
    <row r="116" spans="1:11" x14ac:dyDescent="0.55000000000000004">
      <c r="A116" t="s">
        <v>144</v>
      </c>
      <c r="B116">
        <v>22</v>
      </c>
      <c r="C116" t="s">
        <v>45</v>
      </c>
      <c r="D116" t="s">
        <v>41</v>
      </c>
      <c r="E116">
        <v>3350766</v>
      </c>
      <c r="F116">
        <v>32</v>
      </c>
      <c r="G116">
        <v>116211</v>
      </c>
      <c r="H116" t="s">
        <v>14</v>
      </c>
      <c r="I116" t="s">
        <v>14</v>
      </c>
      <c r="J116">
        <v>90</v>
      </c>
      <c r="K116" t="s">
        <v>25</v>
      </c>
    </row>
    <row r="117" spans="1:11" x14ac:dyDescent="0.55000000000000004">
      <c r="A117" t="s">
        <v>145</v>
      </c>
      <c r="B117">
        <v>37</v>
      </c>
      <c r="C117" t="s">
        <v>30</v>
      </c>
      <c r="D117" t="s">
        <v>41</v>
      </c>
      <c r="E117">
        <v>4935017</v>
      </c>
      <c r="F117">
        <v>36</v>
      </c>
      <c r="G117">
        <v>10322</v>
      </c>
      <c r="H117" t="s">
        <v>14</v>
      </c>
      <c r="I117" t="s">
        <v>24</v>
      </c>
      <c r="J117">
        <v>100</v>
      </c>
      <c r="K117" t="s">
        <v>25</v>
      </c>
    </row>
    <row r="118" spans="1:11" x14ac:dyDescent="0.55000000000000004">
      <c r="A118" t="s">
        <v>146</v>
      </c>
      <c r="B118">
        <v>33</v>
      </c>
      <c r="C118" t="s">
        <v>12</v>
      </c>
      <c r="D118" t="s">
        <v>36</v>
      </c>
      <c r="E118">
        <v>7118732</v>
      </c>
      <c r="F118">
        <v>32</v>
      </c>
      <c r="G118">
        <v>296072</v>
      </c>
      <c r="H118" t="s">
        <v>14</v>
      </c>
      <c r="I118" t="s">
        <v>14</v>
      </c>
      <c r="J118">
        <v>70</v>
      </c>
      <c r="K118" t="s">
        <v>15</v>
      </c>
    </row>
    <row r="119" spans="1:11" x14ac:dyDescent="0.55000000000000004">
      <c r="A119" t="s">
        <v>147</v>
      </c>
      <c r="B119">
        <v>65</v>
      </c>
      <c r="C119" t="s">
        <v>45</v>
      </c>
      <c r="D119" t="s">
        <v>28</v>
      </c>
      <c r="E119">
        <v>8534615</v>
      </c>
      <c r="F119">
        <v>29</v>
      </c>
      <c r="G119">
        <v>420725</v>
      </c>
      <c r="H119" t="s">
        <v>24</v>
      </c>
      <c r="I119" t="s">
        <v>14</v>
      </c>
      <c r="J119">
        <v>90</v>
      </c>
      <c r="K119" t="s">
        <v>25</v>
      </c>
    </row>
    <row r="120" spans="1:11" x14ac:dyDescent="0.55000000000000004">
      <c r="A120" t="s">
        <v>148</v>
      </c>
      <c r="B120">
        <v>39</v>
      </c>
      <c r="C120" t="s">
        <v>22</v>
      </c>
      <c r="D120" t="s">
        <v>23</v>
      </c>
      <c r="E120">
        <v>4381983</v>
      </c>
      <c r="F120">
        <v>20</v>
      </c>
      <c r="G120">
        <v>353106</v>
      </c>
      <c r="H120" t="s">
        <v>14</v>
      </c>
      <c r="I120" t="s">
        <v>14</v>
      </c>
      <c r="J120">
        <v>75</v>
      </c>
      <c r="K120" t="s">
        <v>15</v>
      </c>
    </row>
    <row r="121" spans="1:11" x14ac:dyDescent="0.55000000000000004">
      <c r="A121" t="s">
        <v>149</v>
      </c>
      <c r="B121">
        <v>51</v>
      </c>
      <c r="C121" t="s">
        <v>30</v>
      </c>
      <c r="D121" t="s">
        <v>23</v>
      </c>
      <c r="E121">
        <v>9533986</v>
      </c>
      <c r="F121">
        <v>22</v>
      </c>
      <c r="G121">
        <v>189450</v>
      </c>
      <c r="H121" t="s">
        <v>14</v>
      </c>
      <c r="I121" t="s">
        <v>24</v>
      </c>
      <c r="J121">
        <v>105</v>
      </c>
      <c r="K121" t="s">
        <v>25</v>
      </c>
    </row>
    <row r="122" spans="1:11" x14ac:dyDescent="0.55000000000000004">
      <c r="A122" t="s">
        <v>150</v>
      </c>
      <c r="B122">
        <v>38</v>
      </c>
      <c r="C122" t="s">
        <v>32</v>
      </c>
      <c r="D122" t="s">
        <v>41</v>
      </c>
      <c r="E122">
        <v>4167786</v>
      </c>
      <c r="F122">
        <v>8</v>
      </c>
      <c r="G122">
        <v>383160</v>
      </c>
      <c r="H122" t="s">
        <v>14</v>
      </c>
      <c r="I122" t="s">
        <v>24</v>
      </c>
      <c r="J122">
        <v>100</v>
      </c>
      <c r="K122" t="s">
        <v>25</v>
      </c>
    </row>
    <row r="123" spans="1:11" x14ac:dyDescent="0.55000000000000004">
      <c r="A123" t="s">
        <v>151</v>
      </c>
      <c r="B123">
        <v>28</v>
      </c>
      <c r="C123" t="s">
        <v>27</v>
      </c>
      <c r="D123" t="s">
        <v>36</v>
      </c>
      <c r="E123">
        <v>3930331</v>
      </c>
      <c r="F123">
        <v>48</v>
      </c>
      <c r="G123">
        <v>258859</v>
      </c>
      <c r="H123" t="s">
        <v>14</v>
      </c>
      <c r="I123" t="s">
        <v>14</v>
      </c>
      <c r="J123">
        <v>70</v>
      </c>
      <c r="K123" t="s">
        <v>15</v>
      </c>
    </row>
    <row r="124" spans="1:11" x14ac:dyDescent="0.55000000000000004">
      <c r="A124" t="s">
        <v>152</v>
      </c>
      <c r="B124">
        <v>58</v>
      </c>
      <c r="C124" t="s">
        <v>32</v>
      </c>
      <c r="D124" t="s">
        <v>13</v>
      </c>
      <c r="E124">
        <v>3556752</v>
      </c>
      <c r="F124">
        <v>19</v>
      </c>
      <c r="G124">
        <v>124266</v>
      </c>
      <c r="H124" t="s">
        <v>14</v>
      </c>
      <c r="I124" t="s">
        <v>24</v>
      </c>
      <c r="J124">
        <v>75</v>
      </c>
      <c r="K124" t="s">
        <v>15</v>
      </c>
    </row>
    <row r="125" spans="1:11" x14ac:dyDescent="0.55000000000000004">
      <c r="A125" t="s">
        <v>153</v>
      </c>
      <c r="B125">
        <v>40</v>
      </c>
      <c r="C125" t="s">
        <v>20</v>
      </c>
      <c r="D125" t="s">
        <v>28</v>
      </c>
      <c r="E125">
        <v>9261299</v>
      </c>
      <c r="F125">
        <v>9</v>
      </c>
      <c r="G125">
        <v>148818</v>
      </c>
      <c r="H125" t="s">
        <v>24</v>
      </c>
      <c r="I125" t="s">
        <v>14</v>
      </c>
      <c r="J125">
        <v>80</v>
      </c>
      <c r="K125" t="s">
        <v>15</v>
      </c>
    </row>
    <row r="126" spans="1:11" x14ac:dyDescent="0.55000000000000004">
      <c r="A126" t="s">
        <v>154</v>
      </c>
      <c r="B126">
        <v>24</v>
      </c>
      <c r="C126" t="s">
        <v>32</v>
      </c>
      <c r="D126" t="s">
        <v>28</v>
      </c>
      <c r="E126">
        <v>2418618</v>
      </c>
      <c r="F126">
        <v>41</v>
      </c>
      <c r="G126">
        <v>460323</v>
      </c>
      <c r="H126" t="s">
        <v>14</v>
      </c>
      <c r="I126" t="s">
        <v>24</v>
      </c>
      <c r="J126">
        <v>90</v>
      </c>
      <c r="K126" t="s">
        <v>25</v>
      </c>
    </row>
    <row r="127" spans="1:11" x14ac:dyDescent="0.55000000000000004">
      <c r="A127" t="s">
        <v>155</v>
      </c>
      <c r="B127">
        <v>27</v>
      </c>
      <c r="C127" t="s">
        <v>20</v>
      </c>
      <c r="D127" t="s">
        <v>17</v>
      </c>
      <c r="E127">
        <v>5070422</v>
      </c>
      <c r="F127">
        <v>31</v>
      </c>
      <c r="G127">
        <v>255984</v>
      </c>
      <c r="H127" t="s">
        <v>14</v>
      </c>
      <c r="I127" t="s">
        <v>14</v>
      </c>
      <c r="J127">
        <v>55</v>
      </c>
      <c r="K127" t="s">
        <v>15</v>
      </c>
    </row>
    <row r="128" spans="1:11" x14ac:dyDescent="0.55000000000000004">
      <c r="A128" t="s">
        <v>156</v>
      </c>
      <c r="B128">
        <v>32</v>
      </c>
      <c r="C128" t="s">
        <v>20</v>
      </c>
      <c r="D128" t="s">
        <v>41</v>
      </c>
      <c r="E128">
        <v>8314965</v>
      </c>
      <c r="F128">
        <v>8</v>
      </c>
      <c r="G128">
        <v>436025</v>
      </c>
      <c r="H128" t="s">
        <v>14</v>
      </c>
      <c r="I128" t="s">
        <v>14</v>
      </c>
      <c r="J128">
        <v>70</v>
      </c>
      <c r="K128" t="s">
        <v>15</v>
      </c>
    </row>
    <row r="129" spans="1:11" x14ac:dyDescent="0.55000000000000004">
      <c r="A129" t="s">
        <v>157</v>
      </c>
      <c r="B129">
        <v>52</v>
      </c>
      <c r="C129" t="s">
        <v>12</v>
      </c>
      <c r="D129" t="s">
        <v>17</v>
      </c>
      <c r="E129">
        <v>1199411</v>
      </c>
      <c r="F129">
        <v>10</v>
      </c>
      <c r="G129">
        <v>83222</v>
      </c>
      <c r="H129" t="s">
        <v>14</v>
      </c>
      <c r="I129" t="s">
        <v>14</v>
      </c>
      <c r="J129">
        <v>35</v>
      </c>
      <c r="K129" t="s">
        <v>18</v>
      </c>
    </row>
    <row r="130" spans="1:11" x14ac:dyDescent="0.55000000000000004">
      <c r="A130" t="s">
        <v>158</v>
      </c>
      <c r="B130">
        <v>40</v>
      </c>
      <c r="C130" t="s">
        <v>12</v>
      </c>
      <c r="D130" t="s">
        <v>36</v>
      </c>
      <c r="E130">
        <v>2287287</v>
      </c>
      <c r="F130">
        <v>36</v>
      </c>
      <c r="G130">
        <v>405788</v>
      </c>
      <c r="H130" t="s">
        <v>14</v>
      </c>
      <c r="I130" t="s">
        <v>14</v>
      </c>
      <c r="J130">
        <v>70</v>
      </c>
      <c r="K130" t="s">
        <v>15</v>
      </c>
    </row>
    <row r="131" spans="1:11" x14ac:dyDescent="0.55000000000000004">
      <c r="A131" t="s">
        <v>159</v>
      </c>
      <c r="B131">
        <v>59</v>
      </c>
      <c r="C131" t="s">
        <v>22</v>
      </c>
      <c r="D131" t="s">
        <v>17</v>
      </c>
      <c r="E131">
        <v>6681684</v>
      </c>
      <c r="F131">
        <v>29</v>
      </c>
      <c r="G131">
        <v>481317</v>
      </c>
      <c r="H131" t="s">
        <v>14</v>
      </c>
      <c r="I131" t="s">
        <v>14</v>
      </c>
      <c r="J131">
        <v>45</v>
      </c>
      <c r="K131" t="s">
        <v>15</v>
      </c>
    </row>
    <row r="132" spans="1:11" x14ac:dyDescent="0.55000000000000004">
      <c r="A132" t="s">
        <v>160</v>
      </c>
      <c r="B132">
        <v>58</v>
      </c>
      <c r="C132" t="s">
        <v>40</v>
      </c>
      <c r="D132" t="s">
        <v>41</v>
      </c>
      <c r="E132">
        <v>9840019</v>
      </c>
      <c r="F132">
        <v>40</v>
      </c>
      <c r="G132">
        <v>36578</v>
      </c>
      <c r="H132" t="s">
        <v>14</v>
      </c>
      <c r="I132" t="s">
        <v>24</v>
      </c>
      <c r="J132">
        <v>100</v>
      </c>
      <c r="K132" t="s">
        <v>25</v>
      </c>
    </row>
    <row r="133" spans="1:11" x14ac:dyDescent="0.55000000000000004">
      <c r="A133" t="s">
        <v>161</v>
      </c>
      <c r="B133">
        <v>68</v>
      </c>
      <c r="C133" t="s">
        <v>12</v>
      </c>
      <c r="D133" t="s">
        <v>36</v>
      </c>
      <c r="E133">
        <v>3840415</v>
      </c>
      <c r="F133">
        <v>17</v>
      </c>
      <c r="G133">
        <v>351254</v>
      </c>
      <c r="H133" t="s">
        <v>14</v>
      </c>
      <c r="I133" t="s">
        <v>14</v>
      </c>
      <c r="J133">
        <v>60</v>
      </c>
      <c r="K133" t="s">
        <v>15</v>
      </c>
    </row>
    <row r="134" spans="1:11" x14ac:dyDescent="0.55000000000000004">
      <c r="A134" t="s">
        <v>162</v>
      </c>
      <c r="B134">
        <v>36</v>
      </c>
      <c r="C134" t="s">
        <v>27</v>
      </c>
      <c r="D134" t="s">
        <v>17</v>
      </c>
      <c r="E134">
        <v>1559379</v>
      </c>
      <c r="F134">
        <v>11</v>
      </c>
      <c r="G134">
        <v>6402</v>
      </c>
      <c r="H134" t="s">
        <v>14</v>
      </c>
      <c r="I134" t="s">
        <v>14</v>
      </c>
      <c r="J134">
        <v>25</v>
      </c>
      <c r="K134" t="s">
        <v>18</v>
      </c>
    </row>
    <row r="135" spans="1:11" x14ac:dyDescent="0.55000000000000004">
      <c r="A135" t="s">
        <v>163</v>
      </c>
      <c r="B135">
        <v>65</v>
      </c>
      <c r="C135" t="s">
        <v>45</v>
      </c>
      <c r="D135" t="s">
        <v>41</v>
      </c>
      <c r="E135">
        <v>847605</v>
      </c>
      <c r="F135">
        <v>15</v>
      </c>
      <c r="G135">
        <v>156049</v>
      </c>
      <c r="H135" t="s">
        <v>14</v>
      </c>
      <c r="I135" t="s">
        <v>14</v>
      </c>
      <c r="J135">
        <v>80</v>
      </c>
      <c r="K135" t="s">
        <v>15</v>
      </c>
    </row>
    <row r="136" spans="1:11" x14ac:dyDescent="0.55000000000000004">
      <c r="A136" t="s">
        <v>164</v>
      </c>
      <c r="B136">
        <v>65</v>
      </c>
      <c r="C136" t="s">
        <v>45</v>
      </c>
      <c r="D136" t="s">
        <v>13</v>
      </c>
      <c r="E136">
        <v>4216201</v>
      </c>
      <c r="F136">
        <v>60</v>
      </c>
      <c r="G136">
        <v>143702</v>
      </c>
      <c r="H136" t="s">
        <v>14</v>
      </c>
      <c r="I136" t="s">
        <v>14</v>
      </c>
      <c r="J136">
        <v>55</v>
      </c>
      <c r="K136" t="s">
        <v>15</v>
      </c>
    </row>
    <row r="137" spans="1:11" x14ac:dyDescent="0.55000000000000004">
      <c r="A137" t="s">
        <v>165</v>
      </c>
      <c r="B137">
        <v>61</v>
      </c>
      <c r="C137" t="s">
        <v>22</v>
      </c>
      <c r="D137" t="s">
        <v>23</v>
      </c>
      <c r="E137">
        <v>2225626</v>
      </c>
      <c r="F137">
        <v>35</v>
      </c>
      <c r="G137">
        <v>122864</v>
      </c>
      <c r="H137" t="s">
        <v>14</v>
      </c>
      <c r="I137" t="s">
        <v>14</v>
      </c>
      <c r="J137">
        <v>85</v>
      </c>
      <c r="K137" t="s">
        <v>25</v>
      </c>
    </row>
    <row r="138" spans="1:11" x14ac:dyDescent="0.55000000000000004">
      <c r="A138" t="s">
        <v>166</v>
      </c>
      <c r="B138">
        <v>38</v>
      </c>
      <c r="C138" t="s">
        <v>27</v>
      </c>
      <c r="D138" t="s">
        <v>13</v>
      </c>
      <c r="E138">
        <v>1300560</v>
      </c>
      <c r="F138">
        <v>11</v>
      </c>
      <c r="G138">
        <v>420565</v>
      </c>
      <c r="H138" t="s">
        <v>14</v>
      </c>
      <c r="I138" t="s">
        <v>14</v>
      </c>
      <c r="J138">
        <v>45</v>
      </c>
      <c r="K138" t="s">
        <v>15</v>
      </c>
    </row>
    <row r="139" spans="1:11" x14ac:dyDescent="0.55000000000000004">
      <c r="A139" t="s">
        <v>167</v>
      </c>
      <c r="B139">
        <v>68</v>
      </c>
      <c r="C139" t="s">
        <v>32</v>
      </c>
      <c r="D139" t="s">
        <v>23</v>
      </c>
      <c r="E139">
        <v>2386308</v>
      </c>
      <c r="F139">
        <v>30</v>
      </c>
      <c r="G139">
        <v>366065</v>
      </c>
      <c r="H139" t="s">
        <v>14</v>
      </c>
      <c r="I139" t="s">
        <v>24</v>
      </c>
      <c r="J139">
        <v>105</v>
      </c>
      <c r="K139" t="s">
        <v>25</v>
      </c>
    </row>
    <row r="140" spans="1:11" x14ac:dyDescent="0.55000000000000004">
      <c r="A140" t="s">
        <v>168</v>
      </c>
      <c r="B140">
        <v>46</v>
      </c>
      <c r="C140" t="s">
        <v>32</v>
      </c>
      <c r="D140" t="s">
        <v>17</v>
      </c>
      <c r="E140">
        <v>9359387</v>
      </c>
      <c r="F140">
        <v>32</v>
      </c>
      <c r="G140">
        <v>234511</v>
      </c>
      <c r="H140" t="s">
        <v>14</v>
      </c>
      <c r="I140" t="s">
        <v>24</v>
      </c>
      <c r="J140">
        <v>85</v>
      </c>
      <c r="K140" t="s">
        <v>25</v>
      </c>
    </row>
    <row r="141" spans="1:11" x14ac:dyDescent="0.55000000000000004">
      <c r="A141" t="s">
        <v>169</v>
      </c>
      <c r="B141">
        <v>23</v>
      </c>
      <c r="C141" t="s">
        <v>40</v>
      </c>
      <c r="D141" t="s">
        <v>28</v>
      </c>
      <c r="E141">
        <v>5707658</v>
      </c>
      <c r="F141">
        <v>39</v>
      </c>
      <c r="G141">
        <v>136264</v>
      </c>
      <c r="H141" t="s">
        <v>24</v>
      </c>
      <c r="I141" t="s">
        <v>24</v>
      </c>
      <c r="J141">
        <v>130</v>
      </c>
      <c r="K141" t="s">
        <v>25</v>
      </c>
    </row>
    <row r="142" spans="1:11" x14ac:dyDescent="0.55000000000000004">
      <c r="A142" t="s">
        <v>170</v>
      </c>
      <c r="B142">
        <v>35</v>
      </c>
      <c r="C142" t="s">
        <v>20</v>
      </c>
      <c r="D142" t="s">
        <v>28</v>
      </c>
      <c r="E142">
        <v>4821644</v>
      </c>
      <c r="F142">
        <v>37</v>
      </c>
      <c r="G142">
        <v>26092</v>
      </c>
      <c r="H142" t="s">
        <v>14</v>
      </c>
      <c r="I142" t="s">
        <v>14</v>
      </c>
      <c r="J142">
        <v>40</v>
      </c>
      <c r="K142" t="s">
        <v>18</v>
      </c>
    </row>
    <row r="143" spans="1:11" x14ac:dyDescent="0.55000000000000004">
      <c r="A143" t="s">
        <v>171</v>
      </c>
      <c r="B143">
        <v>32</v>
      </c>
      <c r="C143" t="s">
        <v>45</v>
      </c>
      <c r="D143" t="s">
        <v>17</v>
      </c>
      <c r="E143">
        <v>7719378</v>
      </c>
      <c r="F143">
        <v>59</v>
      </c>
      <c r="G143">
        <v>150834</v>
      </c>
      <c r="H143" t="s">
        <v>14</v>
      </c>
      <c r="I143" t="s">
        <v>14</v>
      </c>
      <c r="J143">
        <v>55</v>
      </c>
      <c r="K143" t="s">
        <v>15</v>
      </c>
    </row>
    <row r="144" spans="1:11" x14ac:dyDescent="0.55000000000000004">
      <c r="A144" t="s">
        <v>172</v>
      </c>
      <c r="B144">
        <v>58</v>
      </c>
      <c r="C144" t="s">
        <v>40</v>
      </c>
      <c r="D144" t="s">
        <v>28</v>
      </c>
      <c r="E144">
        <v>8549789</v>
      </c>
      <c r="F144">
        <v>6</v>
      </c>
      <c r="G144">
        <v>251420</v>
      </c>
      <c r="H144" t="s">
        <v>14</v>
      </c>
      <c r="I144" t="s">
        <v>24</v>
      </c>
      <c r="J144">
        <v>70</v>
      </c>
      <c r="K144" t="s">
        <v>15</v>
      </c>
    </row>
    <row r="145" spans="1:11" x14ac:dyDescent="0.55000000000000004">
      <c r="A145" t="s">
        <v>173</v>
      </c>
      <c r="B145">
        <v>42</v>
      </c>
      <c r="C145" t="s">
        <v>30</v>
      </c>
      <c r="D145" t="s">
        <v>28</v>
      </c>
      <c r="E145">
        <v>2054894</v>
      </c>
      <c r="F145">
        <v>55</v>
      </c>
      <c r="G145">
        <v>89318</v>
      </c>
      <c r="H145" t="s">
        <v>14</v>
      </c>
      <c r="I145" t="s">
        <v>24</v>
      </c>
      <c r="J145">
        <v>80</v>
      </c>
      <c r="K145" t="s">
        <v>15</v>
      </c>
    </row>
    <row r="146" spans="1:11" x14ac:dyDescent="0.55000000000000004">
      <c r="A146" t="s">
        <v>174</v>
      </c>
      <c r="B146">
        <v>65</v>
      </c>
      <c r="C146" t="s">
        <v>45</v>
      </c>
      <c r="D146" t="s">
        <v>41</v>
      </c>
      <c r="E146">
        <v>7018473</v>
      </c>
      <c r="F146">
        <v>53</v>
      </c>
      <c r="G146">
        <v>403720</v>
      </c>
      <c r="H146" t="s">
        <v>14</v>
      </c>
      <c r="I146" t="s">
        <v>14</v>
      </c>
      <c r="J146">
        <v>90</v>
      </c>
      <c r="K146" t="s">
        <v>25</v>
      </c>
    </row>
    <row r="147" spans="1:11" x14ac:dyDescent="0.55000000000000004">
      <c r="A147" t="s">
        <v>175</v>
      </c>
      <c r="B147">
        <v>50</v>
      </c>
      <c r="C147" t="s">
        <v>12</v>
      </c>
      <c r="D147" t="s">
        <v>41</v>
      </c>
      <c r="E147">
        <v>4534550</v>
      </c>
      <c r="F147">
        <v>21</v>
      </c>
      <c r="G147">
        <v>65776</v>
      </c>
      <c r="H147" t="s">
        <v>14</v>
      </c>
      <c r="I147" t="s">
        <v>14</v>
      </c>
      <c r="J147">
        <v>70</v>
      </c>
      <c r="K147" t="s">
        <v>15</v>
      </c>
    </row>
    <row r="148" spans="1:11" x14ac:dyDescent="0.55000000000000004">
      <c r="A148" t="s">
        <v>176</v>
      </c>
      <c r="B148">
        <v>46</v>
      </c>
      <c r="C148" t="s">
        <v>20</v>
      </c>
      <c r="D148" t="s">
        <v>28</v>
      </c>
      <c r="E148">
        <v>9403209</v>
      </c>
      <c r="F148">
        <v>30</v>
      </c>
      <c r="G148">
        <v>221660</v>
      </c>
      <c r="H148" t="s">
        <v>14</v>
      </c>
      <c r="I148" t="s">
        <v>14</v>
      </c>
      <c r="J148">
        <v>50</v>
      </c>
      <c r="K148" t="s">
        <v>15</v>
      </c>
    </row>
    <row r="149" spans="1:11" x14ac:dyDescent="0.55000000000000004">
      <c r="A149" t="s">
        <v>177</v>
      </c>
      <c r="B149">
        <v>54</v>
      </c>
      <c r="C149" t="s">
        <v>30</v>
      </c>
      <c r="D149" t="s">
        <v>17</v>
      </c>
      <c r="E149">
        <v>8663326</v>
      </c>
      <c r="F149">
        <v>41</v>
      </c>
      <c r="G149">
        <v>236756</v>
      </c>
      <c r="H149" t="s">
        <v>14</v>
      </c>
      <c r="I149" t="s">
        <v>24</v>
      </c>
      <c r="J149">
        <v>85</v>
      </c>
      <c r="K149" t="s">
        <v>25</v>
      </c>
    </row>
    <row r="150" spans="1:11" x14ac:dyDescent="0.55000000000000004">
      <c r="A150" t="s">
        <v>178</v>
      </c>
      <c r="B150">
        <v>34</v>
      </c>
      <c r="C150" t="s">
        <v>32</v>
      </c>
      <c r="D150" t="s">
        <v>17</v>
      </c>
      <c r="E150">
        <v>2498037</v>
      </c>
      <c r="F150">
        <v>60</v>
      </c>
      <c r="G150">
        <v>156010</v>
      </c>
      <c r="H150" t="s">
        <v>14</v>
      </c>
      <c r="I150" t="s">
        <v>24</v>
      </c>
      <c r="J150">
        <v>85</v>
      </c>
      <c r="K150" t="s">
        <v>25</v>
      </c>
    </row>
    <row r="151" spans="1:11" x14ac:dyDescent="0.55000000000000004">
      <c r="A151" t="s">
        <v>179</v>
      </c>
      <c r="B151">
        <v>65</v>
      </c>
      <c r="C151" t="s">
        <v>45</v>
      </c>
      <c r="D151" t="s">
        <v>13</v>
      </c>
      <c r="E151">
        <v>784348</v>
      </c>
      <c r="F151">
        <v>41</v>
      </c>
      <c r="G151">
        <v>324224</v>
      </c>
      <c r="H151" t="s">
        <v>14</v>
      </c>
      <c r="I151" t="s">
        <v>14</v>
      </c>
      <c r="J151">
        <v>55</v>
      </c>
      <c r="K151" t="s">
        <v>15</v>
      </c>
    </row>
    <row r="152" spans="1:11" x14ac:dyDescent="0.55000000000000004">
      <c r="A152" t="s">
        <v>180</v>
      </c>
      <c r="B152">
        <v>66</v>
      </c>
      <c r="C152" t="s">
        <v>27</v>
      </c>
      <c r="D152" t="s">
        <v>41</v>
      </c>
      <c r="E152">
        <v>9541545</v>
      </c>
      <c r="F152">
        <v>1</v>
      </c>
      <c r="G152">
        <v>294538</v>
      </c>
      <c r="H152" t="s">
        <v>14</v>
      </c>
      <c r="I152" t="s">
        <v>14</v>
      </c>
      <c r="J152">
        <v>70</v>
      </c>
      <c r="K152" t="s">
        <v>15</v>
      </c>
    </row>
    <row r="153" spans="1:11" x14ac:dyDescent="0.55000000000000004">
      <c r="A153" t="s">
        <v>181</v>
      </c>
      <c r="B153">
        <v>35</v>
      </c>
      <c r="C153" t="s">
        <v>12</v>
      </c>
      <c r="D153" t="s">
        <v>23</v>
      </c>
      <c r="E153">
        <v>2270754</v>
      </c>
      <c r="F153">
        <v>42</v>
      </c>
      <c r="G153">
        <v>441282</v>
      </c>
      <c r="H153" t="s">
        <v>14</v>
      </c>
      <c r="I153" t="s">
        <v>14</v>
      </c>
      <c r="J153">
        <v>85</v>
      </c>
      <c r="K153" t="s">
        <v>25</v>
      </c>
    </row>
    <row r="154" spans="1:11" x14ac:dyDescent="0.55000000000000004">
      <c r="A154" t="s">
        <v>182</v>
      </c>
      <c r="B154">
        <v>66</v>
      </c>
      <c r="C154" t="s">
        <v>32</v>
      </c>
      <c r="D154" t="s">
        <v>17</v>
      </c>
      <c r="E154">
        <v>4887308</v>
      </c>
      <c r="F154">
        <v>27</v>
      </c>
      <c r="G154">
        <v>442635</v>
      </c>
      <c r="H154" t="s">
        <v>14</v>
      </c>
      <c r="I154" t="s">
        <v>24</v>
      </c>
      <c r="J154">
        <v>75</v>
      </c>
      <c r="K154" t="s">
        <v>15</v>
      </c>
    </row>
    <row r="155" spans="1:11" x14ac:dyDescent="0.55000000000000004">
      <c r="A155" t="s">
        <v>183</v>
      </c>
      <c r="B155">
        <v>51</v>
      </c>
      <c r="C155" t="s">
        <v>22</v>
      </c>
      <c r="D155" t="s">
        <v>23</v>
      </c>
      <c r="E155">
        <v>9548693</v>
      </c>
      <c r="F155">
        <v>10</v>
      </c>
      <c r="G155">
        <v>206109</v>
      </c>
      <c r="H155" t="s">
        <v>14</v>
      </c>
      <c r="I155" t="s">
        <v>14</v>
      </c>
      <c r="J155">
        <v>75</v>
      </c>
      <c r="K155" t="s">
        <v>15</v>
      </c>
    </row>
    <row r="156" spans="1:11" x14ac:dyDescent="0.55000000000000004">
      <c r="A156" t="s">
        <v>184</v>
      </c>
      <c r="B156">
        <v>59</v>
      </c>
      <c r="C156" t="s">
        <v>27</v>
      </c>
      <c r="D156" t="s">
        <v>13</v>
      </c>
      <c r="E156">
        <v>4934662</v>
      </c>
      <c r="F156">
        <v>50</v>
      </c>
      <c r="G156">
        <v>419190</v>
      </c>
      <c r="H156" t="s">
        <v>14</v>
      </c>
      <c r="I156" t="s">
        <v>14</v>
      </c>
      <c r="J156">
        <v>55</v>
      </c>
      <c r="K156" t="s">
        <v>15</v>
      </c>
    </row>
    <row r="157" spans="1:11" x14ac:dyDescent="0.55000000000000004">
      <c r="A157" t="s">
        <v>185</v>
      </c>
      <c r="B157">
        <v>42</v>
      </c>
      <c r="C157" t="s">
        <v>32</v>
      </c>
      <c r="D157" t="s">
        <v>13</v>
      </c>
      <c r="E157">
        <v>5045250</v>
      </c>
      <c r="F157">
        <v>47</v>
      </c>
      <c r="G157">
        <v>161529</v>
      </c>
      <c r="H157" t="s">
        <v>14</v>
      </c>
      <c r="I157" t="s">
        <v>24</v>
      </c>
      <c r="J157">
        <v>85</v>
      </c>
      <c r="K157" t="s">
        <v>25</v>
      </c>
    </row>
    <row r="158" spans="1:11" x14ac:dyDescent="0.55000000000000004">
      <c r="A158" t="s">
        <v>186</v>
      </c>
      <c r="B158">
        <v>58</v>
      </c>
      <c r="C158" t="s">
        <v>45</v>
      </c>
      <c r="D158" t="s">
        <v>36</v>
      </c>
      <c r="E158">
        <v>7791822</v>
      </c>
      <c r="F158">
        <v>35</v>
      </c>
      <c r="G158">
        <v>258934</v>
      </c>
      <c r="H158" t="s">
        <v>14</v>
      </c>
      <c r="I158" t="s">
        <v>14</v>
      </c>
      <c r="J158">
        <v>70</v>
      </c>
      <c r="K158" t="s">
        <v>15</v>
      </c>
    </row>
    <row r="159" spans="1:11" x14ac:dyDescent="0.55000000000000004">
      <c r="A159" t="s">
        <v>187</v>
      </c>
      <c r="B159">
        <v>56</v>
      </c>
      <c r="C159" t="s">
        <v>40</v>
      </c>
      <c r="D159" t="s">
        <v>23</v>
      </c>
      <c r="E159">
        <v>5698528</v>
      </c>
      <c r="F159">
        <v>56</v>
      </c>
      <c r="G159">
        <v>103908</v>
      </c>
      <c r="H159" t="s">
        <v>14</v>
      </c>
      <c r="I159" t="s">
        <v>24</v>
      </c>
      <c r="J159">
        <v>115</v>
      </c>
      <c r="K159" t="s">
        <v>25</v>
      </c>
    </row>
    <row r="160" spans="1:11" x14ac:dyDescent="0.55000000000000004">
      <c r="A160" t="s">
        <v>188</v>
      </c>
      <c r="B160">
        <v>36</v>
      </c>
      <c r="C160" t="s">
        <v>40</v>
      </c>
      <c r="D160" t="s">
        <v>36</v>
      </c>
      <c r="E160">
        <v>7191662</v>
      </c>
      <c r="F160">
        <v>3</v>
      </c>
      <c r="G160">
        <v>171816</v>
      </c>
      <c r="H160" t="s">
        <v>14</v>
      </c>
      <c r="I160" t="s">
        <v>24</v>
      </c>
      <c r="J160">
        <v>80</v>
      </c>
      <c r="K160" t="s">
        <v>15</v>
      </c>
    </row>
    <row r="161" spans="1:11" x14ac:dyDescent="0.55000000000000004">
      <c r="A161" t="s">
        <v>189</v>
      </c>
      <c r="B161">
        <v>66</v>
      </c>
      <c r="C161" t="s">
        <v>40</v>
      </c>
      <c r="D161" t="s">
        <v>23</v>
      </c>
      <c r="E161">
        <v>2851903</v>
      </c>
      <c r="F161">
        <v>32</v>
      </c>
      <c r="G161">
        <v>24408</v>
      </c>
      <c r="H161" t="s">
        <v>14</v>
      </c>
      <c r="I161" t="s">
        <v>24</v>
      </c>
      <c r="J161">
        <v>95</v>
      </c>
      <c r="K161" t="s">
        <v>25</v>
      </c>
    </row>
    <row r="162" spans="1:11" x14ac:dyDescent="0.55000000000000004">
      <c r="A162" t="s">
        <v>190</v>
      </c>
      <c r="B162">
        <v>58</v>
      </c>
      <c r="C162" t="s">
        <v>30</v>
      </c>
      <c r="D162" t="s">
        <v>13</v>
      </c>
      <c r="E162">
        <v>7687112</v>
      </c>
      <c r="F162">
        <v>7</v>
      </c>
      <c r="G162">
        <v>280749</v>
      </c>
      <c r="H162" t="s">
        <v>14</v>
      </c>
      <c r="I162" t="s">
        <v>24</v>
      </c>
      <c r="J162">
        <v>65</v>
      </c>
      <c r="K162" t="s">
        <v>15</v>
      </c>
    </row>
    <row r="163" spans="1:11" x14ac:dyDescent="0.55000000000000004">
      <c r="A163" t="s">
        <v>191</v>
      </c>
      <c r="B163">
        <v>21</v>
      </c>
      <c r="C163" t="s">
        <v>27</v>
      </c>
      <c r="D163" t="s">
        <v>23</v>
      </c>
      <c r="E163">
        <v>2889751</v>
      </c>
      <c r="F163">
        <v>5</v>
      </c>
      <c r="G163">
        <v>251148</v>
      </c>
      <c r="H163" t="s">
        <v>14</v>
      </c>
      <c r="I163" t="s">
        <v>14</v>
      </c>
      <c r="J163">
        <v>65</v>
      </c>
      <c r="K163" t="s">
        <v>15</v>
      </c>
    </row>
    <row r="164" spans="1:11" x14ac:dyDescent="0.55000000000000004">
      <c r="A164" t="s">
        <v>192</v>
      </c>
      <c r="B164">
        <v>37</v>
      </c>
      <c r="C164" t="s">
        <v>30</v>
      </c>
      <c r="D164" t="s">
        <v>17</v>
      </c>
      <c r="E164">
        <v>6968663</v>
      </c>
      <c r="F164">
        <v>42</v>
      </c>
      <c r="G164">
        <v>47108</v>
      </c>
      <c r="H164" t="s">
        <v>14</v>
      </c>
      <c r="I164" t="s">
        <v>24</v>
      </c>
      <c r="J164">
        <v>65</v>
      </c>
      <c r="K164" t="s">
        <v>15</v>
      </c>
    </row>
    <row r="165" spans="1:11" x14ac:dyDescent="0.55000000000000004">
      <c r="A165" t="s">
        <v>193</v>
      </c>
      <c r="B165">
        <v>75</v>
      </c>
      <c r="C165" t="s">
        <v>40</v>
      </c>
      <c r="D165" t="s">
        <v>41</v>
      </c>
      <c r="E165">
        <v>8486400</v>
      </c>
      <c r="F165">
        <v>56</v>
      </c>
      <c r="G165">
        <v>288648</v>
      </c>
      <c r="H165" t="s">
        <v>24</v>
      </c>
      <c r="I165" t="s">
        <v>24</v>
      </c>
      <c r="J165">
        <v>160</v>
      </c>
      <c r="K165" t="s">
        <v>25</v>
      </c>
    </row>
    <row r="166" spans="1:11" x14ac:dyDescent="0.55000000000000004">
      <c r="A166" t="s">
        <v>194</v>
      </c>
      <c r="B166">
        <v>25</v>
      </c>
      <c r="C166" t="s">
        <v>22</v>
      </c>
      <c r="D166" t="s">
        <v>28</v>
      </c>
      <c r="E166">
        <v>5121419</v>
      </c>
      <c r="F166">
        <v>15</v>
      </c>
      <c r="G166">
        <v>396520</v>
      </c>
      <c r="H166" t="s">
        <v>14</v>
      </c>
      <c r="I166" t="s">
        <v>14</v>
      </c>
      <c r="J166">
        <v>50</v>
      </c>
      <c r="K166" t="s">
        <v>15</v>
      </c>
    </row>
    <row r="167" spans="1:11" x14ac:dyDescent="0.55000000000000004">
      <c r="A167" t="s">
        <v>195</v>
      </c>
      <c r="B167">
        <v>27</v>
      </c>
      <c r="C167" t="s">
        <v>12</v>
      </c>
      <c r="D167" t="s">
        <v>23</v>
      </c>
      <c r="E167">
        <v>3091137</v>
      </c>
      <c r="F167">
        <v>45</v>
      </c>
      <c r="G167">
        <v>162006</v>
      </c>
      <c r="H167" t="s">
        <v>14</v>
      </c>
      <c r="I167" t="s">
        <v>14</v>
      </c>
      <c r="J167">
        <v>85</v>
      </c>
      <c r="K167" t="s">
        <v>25</v>
      </c>
    </row>
    <row r="168" spans="1:11" x14ac:dyDescent="0.55000000000000004">
      <c r="A168" t="s">
        <v>196</v>
      </c>
      <c r="B168">
        <v>23</v>
      </c>
      <c r="C168" t="s">
        <v>30</v>
      </c>
      <c r="D168" t="s">
        <v>13</v>
      </c>
      <c r="E168">
        <v>5221894</v>
      </c>
      <c r="F168">
        <v>23</v>
      </c>
      <c r="G168">
        <v>201524</v>
      </c>
      <c r="H168" t="s">
        <v>14</v>
      </c>
      <c r="I168" t="s">
        <v>24</v>
      </c>
      <c r="J168">
        <v>75</v>
      </c>
      <c r="K168" t="s">
        <v>15</v>
      </c>
    </row>
    <row r="169" spans="1:11" x14ac:dyDescent="0.55000000000000004">
      <c r="A169" t="s">
        <v>197</v>
      </c>
      <c r="B169">
        <v>36</v>
      </c>
      <c r="C169" t="s">
        <v>40</v>
      </c>
      <c r="D169" t="s">
        <v>17</v>
      </c>
      <c r="E169">
        <v>3320853</v>
      </c>
      <c r="F169">
        <v>11</v>
      </c>
      <c r="G169">
        <v>96786</v>
      </c>
      <c r="H169" t="s">
        <v>14</v>
      </c>
      <c r="I169" t="s">
        <v>24</v>
      </c>
      <c r="J169">
        <v>65</v>
      </c>
      <c r="K169" t="s">
        <v>15</v>
      </c>
    </row>
    <row r="170" spans="1:11" x14ac:dyDescent="0.55000000000000004">
      <c r="A170" t="s">
        <v>198</v>
      </c>
      <c r="B170">
        <v>45</v>
      </c>
      <c r="C170" t="s">
        <v>22</v>
      </c>
      <c r="D170" t="s">
        <v>23</v>
      </c>
      <c r="E170">
        <v>2701116</v>
      </c>
      <c r="F170">
        <v>15</v>
      </c>
      <c r="G170">
        <v>246775</v>
      </c>
      <c r="H170" t="s">
        <v>14</v>
      </c>
      <c r="I170" t="s">
        <v>14</v>
      </c>
      <c r="J170">
        <v>75</v>
      </c>
      <c r="K170" t="s">
        <v>15</v>
      </c>
    </row>
    <row r="171" spans="1:11" x14ac:dyDescent="0.55000000000000004">
      <c r="A171" t="s">
        <v>199</v>
      </c>
      <c r="B171">
        <v>50</v>
      </c>
      <c r="C171" t="s">
        <v>32</v>
      </c>
      <c r="D171" t="s">
        <v>28</v>
      </c>
      <c r="E171">
        <v>457662</v>
      </c>
      <c r="F171">
        <v>58</v>
      </c>
      <c r="G171">
        <v>426859</v>
      </c>
      <c r="H171" t="s">
        <v>14</v>
      </c>
      <c r="I171" t="s">
        <v>24</v>
      </c>
      <c r="J171">
        <v>90</v>
      </c>
      <c r="K171" t="s">
        <v>25</v>
      </c>
    </row>
    <row r="172" spans="1:11" x14ac:dyDescent="0.55000000000000004">
      <c r="A172" t="s">
        <v>200</v>
      </c>
      <c r="B172">
        <v>39</v>
      </c>
      <c r="C172" t="s">
        <v>27</v>
      </c>
      <c r="D172" t="s">
        <v>13</v>
      </c>
      <c r="E172">
        <v>7710995</v>
      </c>
      <c r="F172">
        <v>23</v>
      </c>
      <c r="G172">
        <v>313056</v>
      </c>
      <c r="H172" t="s">
        <v>14</v>
      </c>
      <c r="I172" t="s">
        <v>14</v>
      </c>
      <c r="J172">
        <v>45</v>
      </c>
      <c r="K172" t="s">
        <v>15</v>
      </c>
    </row>
    <row r="173" spans="1:11" x14ac:dyDescent="0.55000000000000004">
      <c r="A173" t="s">
        <v>201</v>
      </c>
      <c r="B173">
        <v>48</v>
      </c>
      <c r="C173" t="s">
        <v>32</v>
      </c>
      <c r="D173" t="s">
        <v>23</v>
      </c>
      <c r="E173">
        <v>5368760</v>
      </c>
      <c r="F173">
        <v>13</v>
      </c>
      <c r="G173">
        <v>206690</v>
      </c>
      <c r="H173" t="s">
        <v>14</v>
      </c>
      <c r="I173" t="s">
        <v>24</v>
      </c>
      <c r="J173">
        <v>105</v>
      </c>
      <c r="K173" t="s">
        <v>25</v>
      </c>
    </row>
    <row r="174" spans="1:11" x14ac:dyDescent="0.55000000000000004">
      <c r="A174" t="s">
        <v>202</v>
      </c>
      <c r="B174">
        <v>27</v>
      </c>
      <c r="C174" t="s">
        <v>22</v>
      </c>
      <c r="D174" t="s">
        <v>23</v>
      </c>
      <c r="E174">
        <v>9895270</v>
      </c>
      <c r="F174">
        <v>23</v>
      </c>
      <c r="G174">
        <v>306366</v>
      </c>
      <c r="H174" t="s">
        <v>14</v>
      </c>
      <c r="I174" t="s">
        <v>14</v>
      </c>
      <c r="J174">
        <v>75</v>
      </c>
      <c r="K174" t="s">
        <v>15</v>
      </c>
    </row>
    <row r="175" spans="1:11" x14ac:dyDescent="0.55000000000000004">
      <c r="A175" t="s">
        <v>203</v>
      </c>
      <c r="B175">
        <v>65</v>
      </c>
      <c r="C175" t="s">
        <v>32</v>
      </c>
      <c r="D175" t="s">
        <v>13</v>
      </c>
      <c r="E175">
        <v>6940518</v>
      </c>
      <c r="F175">
        <v>18</v>
      </c>
      <c r="G175">
        <v>9245</v>
      </c>
      <c r="H175" t="s">
        <v>14</v>
      </c>
      <c r="I175" t="s">
        <v>24</v>
      </c>
      <c r="J175">
        <v>55</v>
      </c>
      <c r="K175" t="s">
        <v>15</v>
      </c>
    </row>
    <row r="176" spans="1:11" x14ac:dyDescent="0.55000000000000004">
      <c r="A176" t="s">
        <v>204</v>
      </c>
      <c r="B176">
        <v>64</v>
      </c>
      <c r="C176" t="s">
        <v>20</v>
      </c>
      <c r="D176" t="s">
        <v>17</v>
      </c>
      <c r="E176">
        <v>8633700</v>
      </c>
      <c r="F176">
        <v>54</v>
      </c>
      <c r="G176">
        <v>479037</v>
      </c>
      <c r="H176" t="s">
        <v>14</v>
      </c>
      <c r="I176" t="s">
        <v>14</v>
      </c>
      <c r="J176">
        <v>55</v>
      </c>
      <c r="K176" t="s">
        <v>15</v>
      </c>
    </row>
    <row r="177" spans="1:11" x14ac:dyDescent="0.55000000000000004">
      <c r="A177" t="s">
        <v>205</v>
      </c>
      <c r="B177">
        <v>70</v>
      </c>
      <c r="C177" t="s">
        <v>22</v>
      </c>
      <c r="D177" t="s">
        <v>17</v>
      </c>
      <c r="E177">
        <v>6210964</v>
      </c>
      <c r="F177">
        <v>15</v>
      </c>
      <c r="G177">
        <v>338771</v>
      </c>
      <c r="H177" t="s">
        <v>14</v>
      </c>
      <c r="I177" t="s">
        <v>14</v>
      </c>
      <c r="J177">
        <v>45</v>
      </c>
      <c r="K177" t="s">
        <v>15</v>
      </c>
    </row>
    <row r="178" spans="1:11" x14ac:dyDescent="0.55000000000000004">
      <c r="A178" t="s">
        <v>206</v>
      </c>
      <c r="B178">
        <v>37</v>
      </c>
      <c r="C178" t="s">
        <v>27</v>
      </c>
      <c r="D178" t="s">
        <v>28</v>
      </c>
      <c r="E178">
        <v>1930140</v>
      </c>
      <c r="F178">
        <v>58</v>
      </c>
      <c r="G178">
        <v>333968</v>
      </c>
      <c r="H178" t="s">
        <v>14</v>
      </c>
      <c r="I178" t="s">
        <v>14</v>
      </c>
      <c r="J178">
        <v>60</v>
      </c>
      <c r="K178" t="s">
        <v>15</v>
      </c>
    </row>
    <row r="179" spans="1:11" x14ac:dyDescent="0.55000000000000004">
      <c r="A179" t="s">
        <v>207</v>
      </c>
      <c r="B179">
        <v>40</v>
      </c>
      <c r="C179" t="s">
        <v>45</v>
      </c>
      <c r="D179" t="s">
        <v>13</v>
      </c>
      <c r="E179">
        <v>6421355</v>
      </c>
      <c r="F179">
        <v>47</v>
      </c>
      <c r="G179">
        <v>73897</v>
      </c>
      <c r="H179" t="s">
        <v>14</v>
      </c>
      <c r="I179" t="s">
        <v>14</v>
      </c>
      <c r="J179">
        <v>45</v>
      </c>
      <c r="K179" t="s">
        <v>15</v>
      </c>
    </row>
    <row r="180" spans="1:11" x14ac:dyDescent="0.55000000000000004">
      <c r="A180" t="s">
        <v>208</v>
      </c>
      <c r="B180">
        <v>39</v>
      </c>
      <c r="C180" t="s">
        <v>30</v>
      </c>
      <c r="D180" t="s">
        <v>28</v>
      </c>
      <c r="E180">
        <v>7270985</v>
      </c>
      <c r="F180">
        <v>12</v>
      </c>
      <c r="G180">
        <v>110274</v>
      </c>
      <c r="H180" t="s">
        <v>14</v>
      </c>
      <c r="I180" t="s">
        <v>24</v>
      </c>
      <c r="J180">
        <v>80</v>
      </c>
      <c r="K180" t="s">
        <v>15</v>
      </c>
    </row>
    <row r="181" spans="1:11" x14ac:dyDescent="0.55000000000000004">
      <c r="A181" t="s">
        <v>209</v>
      </c>
      <c r="B181">
        <v>55</v>
      </c>
      <c r="C181" t="s">
        <v>30</v>
      </c>
      <c r="D181" t="s">
        <v>17</v>
      </c>
      <c r="E181">
        <v>8718719</v>
      </c>
      <c r="F181">
        <v>59</v>
      </c>
      <c r="G181">
        <v>147882</v>
      </c>
      <c r="H181" t="s">
        <v>14</v>
      </c>
      <c r="I181" t="s">
        <v>24</v>
      </c>
      <c r="J181">
        <v>85</v>
      </c>
      <c r="K181" t="s">
        <v>25</v>
      </c>
    </row>
    <row r="182" spans="1:11" x14ac:dyDescent="0.55000000000000004">
      <c r="A182" t="s">
        <v>210</v>
      </c>
      <c r="B182">
        <v>37</v>
      </c>
      <c r="C182" t="s">
        <v>45</v>
      </c>
      <c r="D182" t="s">
        <v>41</v>
      </c>
      <c r="E182">
        <v>5982698</v>
      </c>
      <c r="F182">
        <v>52</v>
      </c>
      <c r="G182">
        <v>65382</v>
      </c>
      <c r="H182" t="s">
        <v>14</v>
      </c>
      <c r="I182" t="s">
        <v>14</v>
      </c>
      <c r="J182">
        <v>80</v>
      </c>
      <c r="K182" t="s">
        <v>15</v>
      </c>
    </row>
    <row r="183" spans="1:11" x14ac:dyDescent="0.55000000000000004">
      <c r="A183" t="s">
        <v>211</v>
      </c>
      <c r="B183">
        <v>25</v>
      </c>
      <c r="C183" t="s">
        <v>27</v>
      </c>
      <c r="D183" t="s">
        <v>36</v>
      </c>
      <c r="E183">
        <v>6967458</v>
      </c>
      <c r="F183">
        <v>55</v>
      </c>
      <c r="G183">
        <v>426835</v>
      </c>
      <c r="H183" t="s">
        <v>14</v>
      </c>
      <c r="I183" t="s">
        <v>14</v>
      </c>
      <c r="J183">
        <v>70</v>
      </c>
      <c r="K183" t="s">
        <v>15</v>
      </c>
    </row>
    <row r="184" spans="1:11" x14ac:dyDescent="0.55000000000000004">
      <c r="A184" t="s">
        <v>212</v>
      </c>
      <c r="B184">
        <v>26</v>
      </c>
      <c r="C184" t="s">
        <v>40</v>
      </c>
      <c r="D184" t="s">
        <v>13</v>
      </c>
      <c r="E184">
        <v>4736878</v>
      </c>
      <c r="F184">
        <v>35</v>
      </c>
      <c r="G184">
        <v>69796</v>
      </c>
      <c r="H184" t="s">
        <v>14</v>
      </c>
      <c r="I184" t="s">
        <v>24</v>
      </c>
      <c r="J184">
        <v>75</v>
      </c>
      <c r="K184" t="s">
        <v>15</v>
      </c>
    </row>
    <row r="185" spans="1:11" x14ac:dyDescent="0.55000000000000004">
      <c r="A185" t="s">
        <v>213</v>
      </c>
      <c r="B185">
        <v>64</v>
      </c>
      <c r="C185" t="s">
        <v>32</v>
      </c>
      <c r="D185" t="s">
        <v>17</v>
      </c>
      <c r="E185">
        <v>6692547</v>
      </c>
      <c r="F185">
        <v>53</v>
      </c>
      <c r="G185">
        <v>339783</v>
      </c>
      <c r="H185" t="s">
        <v>14</v>
      </c>
      <c r="I185" t="s">
        <v>24</v>
      </c>
      <c r="J185">
        <v>85</v>
      </c>
      <c r="K185" t="s">
        <v>25</v>
      </c>
    </row>
    <row r="186" spans="1:11" x14ac:dyDescent="0.55000000000000004">
      <c r="A186" t="s">
        <v>214</v>
      </c>
      <c r="B186">
        <v>27</v>
      </c>
      <c r="C186" t="s">
        <v>22</v>
      </c>
      <c r="D186" t="s">
        <v>23</v>
      </c>
      <c r="E186">
        <v>719843</v>
      </c>
      <c r="F186">
        <v>40</v>
      </c>
      <c r="G186">
        <v>468593</v>
      </c>
      <c r="H186" t="s">
        <v>14</v>
      </c>
      <c r="I186" t="s">
        <v>14</v>
      </c>
      <c r="J186">
        <v>85</v>
      </c>
      <c r="K186" t="s">
        <v>25</v>
      </c>
    </row>
    <row r="187" spans="1:11" x14ac:dyDescent="0.55000000000000004">
      <c r="A187" t="s">
        <v>215</v>
      </c>
      <c r="B187">
        <v>41</v>
      </c>
      <c r="C187" t="s">
        <v>22</v>
      </c>
      <c r="D187" t="s">
        <v>28</v>
      </c>
      <c r="E187">
        <v>1360605</v>
      </c>
      <c r="F187">
        <v>41</v>
      </c>
      <c r="G187">
        <v>436937</v>
      </c>
      <c r="H187" t="s">
        <v>14</v>
      </c>
      <c r="I187" t="s">
        <v>14</v>
      </c>
      <c r="J187">
        <v>60</v>
      </c>
      <c r="K187" t="s">
        <v>15</v>
      </c>
    </row>
    <row r="188" spans="1:11" x14ac:dyDescent="0.55000000000000004">
      <c r="A188" t="s">
        <v>216</v>
      </c>
      <c r="B188">
        <v>65</v>
      </c>
      <c r="C188" t="s">
        <v>32</v>
      </c>
      <c r="D188" t="s">
        <v>28</v>
      </c>
      <c r="E188">
        <v>7150067</v>
      </c>
      <c r="F188">
        <v>8</v>
      </c>
      <c r="G188">
        <v>78283</v>
      </c>
      <c r="H188" t="s">
        <v>24</v>
      </c>
      <c r="I188" t="s">
        <v>24</v>
      </c>
      <c r="J188">
        <v>100</v>
      </c>
      <c r="K188" t="s">
        <v>25</v>
      </c>
    </row>
    <row r="189" spans="1:11" x14ac:dyDescent="0.55000000000000004">
      <c r="A189" t="s">
        <v>217</v>
      </c>
      <c r="B189">
        <v>23</v>
      </c>
      <c r="C189" t="s">
        <v>32</v>
      </c>
      <c r="D189" t="s">
        <v>23</v>
      </c>
      <c r="E189">
        <v>2248178</v>
      </c>
      <c r="F189">
        <v>7</v>
      </c>
      <c r="G189">
        <v>128102</v>
      </c>
      <c r="H189" t="s">
        <v>14</v>
      </c>
      <c r="I189" t="s">
        <v>24</v>
      </c>
      <c r="J189">
        <v>95</v>
      </c>
      <c r="K189" t="s">
        <v>25</v>
      </c>
    </row>
    <row r="190" spans="1:11" x14ac:dyDescent="0.55000000000000004">
      <c r="A190" t="s">
        <v>218</v>
      </c>
      <c r="B190">
        <v>29</v>
      </c>
      <c r="C190" t="s">
        <v>40</v>
      </c>
      <c r="D190" t="s">
        <v>23</v>
      </c>
      <c r="E190">
        <v>6524540</v>
      </c>
      <c r="F190">
        <v>43</v>
      </c>
      <c r="G190">
        <v>394619</v>
      </c>
      <c r="H190" t="s">
        <v>14</v>
      </c>
      <c r="I190" t="s">
        <v>24</v>
      </c>
      <c r="J190">
        <v>115</v>
      </c>
      <c r="K190" t="s">
        <v>25</v>
      </c>
    </row>
    <row r="191" spans="1:11" x14ac:dyDescent="0.55000000000000004">
      <c r="A191" t="s">
        <v>219</v>
      </c>
      <c r="B191">
        <v>55</v>
      </c>
      <c r="C191" t="s">
        <v>40</v>
      </c>
      <c r="D191" t="s">
        <v>17</v>
      </c>
      <c r="E191">
        <v>2892464</v>
      </c>
      <c r="F191">
        <v>57</v>
      </c>
      <c r="G191">
        <v>222518</v>
      </c>
      <c r="H191" t="s">
        <v>14</v>
      </c>
      <c r="I191" t="s">
        <v>24</v>
      </c>
      <c r="J191">
        <v>85</v>
      </c>
      <c r="K191" t="s">
        <v>25</v>
      </c>
    </row>
    <row r="192" spans="1:11" x14ac:dyDescent="0.55000000000000004">
      <c r="A192" t="s">
        <v>220</v>
      </c>
      <c r="B192">
        <v>74</v>
      </c>
      <c r="C192" t="s">
        <v>45</v>
      </c>
      <c r="D192" t="s">
        <v>17</v>
      </c>
      <c r="E192">
        <v>7147048</v>
      </c>
      <c r="F192">
        <v>18</v>
      </c>
      <c r="G192">
        <v>22152</v>
      </c>
      <c r="H192" t="s">
        <v>14</v>
      </c>
      <c r="I192" t="s">
        <v>14</v>
      </c>
      <c r="J192">
        <v>25</v>
      </c>
      <c r="K192" t="s">
        <v>18</v>
      </c>
    </row>
    <row r="193" spans="1:11" x14ac:dyDescent="0.55000000000000004">
      <c r="A193" t="s">
        <v>221</v>
      </c>
      <c r="B193">
        <v>34</v>
      </c>
      <c r="C193" t="s">
        <v>45</v>
      </c>
      <c r="D193" t="s">
        <v>23</v>
      </c>
      <c r="E193">
        <v>4261312</v>
      </c>
      <c r="F193">
        <v>55</v>
      </c>
      <c r="G193">
        <v>195151</v>
      </c>
      <c r="H193" t="s">
        <v>14</v>
      </c>
      <c r="I193" t="s">
        <v>14</v>
      </c>
      <c r="J193">
        <v>85</v>
      </c>
      <c r="K193" t="s">
        <v>25</v>
      </c>
    </row>
    <row r="194" spans="1:11" x14ac:dyDescent="0.55000000000000004">
      <c r="A194" t="s">
        <v>222</v>
      </c>
      <c r="B194">
        <v>64</v>
      </c>
      <c r="C194" t="s">
        <v>30</v>
      </c>
      <c r="D194" t="s">
        <v>17</v>
      </c>
      <c r="E194">
        <v>6317548</v>
      </c>
      <c r="F194">
        <v>4</v>
      </c>
      <c r="G194">
        <v>213739</v>
      </c>
      <c r="H194" t="s">
        <v>14</v>
      </c>
      <c r="I194" t="s">
        <v>24</v>
      </c>
      <c r="J194">
        <v>65</v>
      </c>
      <c r="K194" t="s">
        <v>15</v>
      </c>
    </row>
    <row r="195" spans="1:11" x14ac:dyDescent="0.55000000000000004">
      <c r="A195" t="s">
        <v>223</v>
      </c>
      <c r="B195">
        <v>28</v>
      </c>
      <c r="C195" t="s">
        <v>45</v>
      </c>
      <c r="D195" t="s">
        <v>13</v>
      </c>
      <c r="E195">
        <v>3858545</v>
      </c>
      <c r="F195">
        <v>42</v>
      </c>
      <c r="G195">
        <v>340278</v>
      </c>
      <c r="H195" t="s">
        <v>14</v>
      </c>
      <c r="I195" t="s">
        <v>14</v>
      </c>
      <c r="J195">
        <v>55</v>
      </c>
      <c r="K195" t="s">
        <v>15</v>
      </c>
    </row>
    <row r="196" spans="1:11" x14ac:dyDescent="0.55000000000000004">
      <c r="A196" t="s">
        <v>224</v>
      </c>
      <c r="B196">
        <v>22</v>
      </c>
      <c r="C196" t="s">
        <v>20</v>
      </c>
      <c r="D196" t="s">
        <v>41</v>
      </c>
      <c r="E196">
        <v>4386407</v>
      </c>
      <c r="F196">
        <v>9</v>
      </c>
      <c r="G196">
        <v>417603</v>
      </c>
      <c r="H196" t="s">
        <v>14</v>
      </c>
      <c r="I196" t="s">
        <v>14</v>
      </c>
      <c r="J196">
        <v>70</v>
      </c>
      <c r="K196" t="s">
        <v>15</v>
      </c>
    </row>
    <row r="197" spans="1:11" x14ac:dyDescent="0.55000000000000004">
      <c r="A197" t="s">
        <v>225</v>
      </c>
      <c r="B197">
        <v>25</v>
      </c>
      <c r="C197" t="s">
        <v>22</v>
      </c>
      <c r="D197" t="s">
        <v>17</v>
      </c>
      <c r="E197">
        <v>3923062</v>
      </c>
      <c r="F197">
        <v>53</v>
      </c>
      <c r="G197">
        <v>460970</v>
      </c>
      <c r="H197" t="s">
        <v>14</v>
      </c>
      <c r="I197" t="s">
        <v>14</v>
      </c>
      <c r="J197">
        <v>55</v>
      </c>
      <c r="K197" t="s">
        <v>15</v>
      </c>
    </row>
    <row r="198" spans="1:11" x14ac:dyDescent="0.55000000000000004">
      <c r="A198" t="s">
        <v>226</v>
      </c>
      <c r="B198">
        <v>70</v>
      </c>
      <c r="C198" t="s">
        <v>27</v>
      </c>
      <c r="D198" t="s">
        <v>17</v>
      </c>
      <c r="E198">
        <v>347572</v>
      </c>
      <c r="F198">
        <v>18</v>
      </c>
      <c r="G198">
        <v>455052</v>
      </c>
      <c r="H198" t="s">
        <v>14</v>
      </c>
      <c r="I198" t="s">
        <v>14</v>
      </c>
      <c r="J198">
        <v>45</v>
      </c>
      <c r="K198" t="s">
        <v>15</v>
      </c>
    </row>
    <row r="199" spans="1:11" x14ac:dyDescent="0.55000000000000004">
      <c r="A199" t="s">
        <v>227</v>
      </c>
      <c r="B199">
        <v>29</v>
      </c>
      <c r="C199" t="s">
        <v>32</v>
      </c>
      <c r="D199" t="s">
        <v>36</v>
      </c>
      <c r="E199">
        <v>2144258</v>
      </c>
      <c r="F199">
        <v>43</v>
      </c>
      <c r="G199">
        <v>459268</v>
      </c>
      <c r="H199" t="s">
        <v>24</v>
      </c>
      <c r="I199" t="s">
        <v>24</v>
      </c>
      <c r="J199">
        <v>140</v>
      </c>
      <c r="K199" t="s">
        <v>25</v>
      </c>
    </row>
    <row r="200" spans="1:11" x14ac:dyDescent="0.55000000000000004">
      <c r="A200" t="s">
        <v>228</v>
      </c>
      <c r="B200">
        <v>21</v>
      </c>
      <c r="C200" t="s">
        <v>30</v>
      </c>
      <c r="D200" t="s">
        <v>36</v>
      </c>
      <c r="E200">
        <v>5731983</v>
      </c>
      <c r="F200">
        <v>2</v>
      </c>
      <c r="G200">
        <v>96355</v>
      </c>
      <c r="H200" t="s">
        <v>14</v>
      </c>
      <c r="I200" t="s">
        <v>24</v>
      </c>
      <c r="J200">
        <v>70</v>
      </c>
      <c r="K200" t="s">
        <v>15</v>
      </c>
    </row>
    <row r="201" spans="1:11" x14ac:dyDescent="0.55000000000000004">
      <c r="A201" t="s">
        <v>229</v>
      </c>
      <c r="B201">
        <v>29</v>
      </c>
      <c r="C201" t="s">
        <v>40</v>
      </c>
      <c r="D201" t="s">
        <v>17</v>
      </c>
      <c r="E201">
        <v>2206718</v>
      </c>
      <c r="F201">
        <v>48</v>
      </c>
      <c r="G201">
        <v>38322</v>
      </c>
      <c r="H201" t="s">
        <v>14</v>
      </c>
      <c r="I201" t="s">
        <v>24</v>
      </c>
      <c r="J201">
        <v>65</v>
      </c>
      <c r="K201" t="s">
        <v>15</v>
      </c>
    </row>
    <row r="202" spans="1:11" x14ac:dyDescent="0.55000000000000004">
      <c r="A202" t="s">
        <v>230</v>
      </c>
      <c r="B202">
        <v>70</v>
      </c>
      <c r="C202" t="s">
        <v>30</v>
      </c>
      <c r="D202" t="s">
        <v>17</v>
      </c>
      <c r="E202">
        <v>2129622</v>
      </c>
      <c r="F202">
        <v>29</v>
      </c>
      <c r="G202">
        <v>269156</v>
      </c>
      <c r="H202" t="s">
        <v>14</v>
      </c>
      <c r="I202" t="s">
        <v>24</v>
      </c>
      <c r="J202">
        <v>75</v>
      </c>
      <c r="K202" t="s">
        <v>15</v>
      </c>
    </row>
    <row r="203" spans="1:11" x14ac:dyDescent="0.55000000000000004">
      <c r="A203" t="s">
        <v>231</v>
      </c>
      <c r="B203">
        <v>60</v>
      </c>
      <c r="C203" t="s">
        <v>20</v>
      </c>
      <c r="D203" t="s">
        <v>28</v>
      </c>
      <c r="E203">
        <v>9048499</v>
      </c>
      <c r="F203">
        <v>20</v>
      </c>
      <c r="G203">
        <v>245146</v>
      </c>
      <c r="H203" t="s">
        <v>14</v>
      </c>
      <c r="I203" t="s">
        <v>14</v>
      </c>
      <c r="J203">
        <v>50</v>
      </c>
      <c r="K203" t="s">
        <v>15</v>
      </c>
    </row>
    <row r="204" spans="1:11" x14ac:dyDescent="0.55000000000000004">
      <c r="A204" t="s">
        <v>232</v>
      </c>
      <c r="B204">
        <v>22</v>
      </c>
      <c r="C204" t="s">
        <v>20</v>
      </c>
      <c r="D204" t="s">
        <v>23</v>
      </c>
      <c r="E204">
        <v>7038019</v>
      </c>
      <c r="F204">
        <v>28</v>
      </c>
      <c r="G204">
        <v>364712</v>
      </c>
      <c r="H204" t="s">
        <v>14</v>
      </c>
      <c r="I204" t="s">
        <v>14</v>
      </c>
      <c r="J204">
        <v>75</v>
      </c>
      <c r="K204" t="s">
        <v>15</v>
      </c>
    </row>
    <row r="205" spans="1:11" x14ac:dyDescent="0.55000000000000004">
      <c r="A205" t="s">
        <v>233</v>
      </c>
      <c r="B205">
        <v>66</v>
      </c>
      <c r="C205" t="s">
        <v>45</v>
      </c>
      <c r="D205" t="s">
        <v>13</v>
      </c>
      <c r="E205">
        <v>1655439</v>
      </c>
      <c r="F205">
        <v>21</v>
      </c>
      <c r="G205">
        <v>323923</v>
      </c>
      <c r="H205" t="s">
        <v>14</v>
      </c>
      <c r="I205" t="s">
        <v>14</v>
      </c>
      <c r="J205">
        <v>45</v>
      </c>
      <c r="K205" t="s">
        <v>15</v>
      </c>
    </row>
    <row r="206" spans="1:11" x14ac:dyDescent="0.55000000000000004">
      <c r="A206" t="s">
        <v>234</v>
      </c>
      <c r="B206">
        <v>29</v>
      </c>
      <c r="C206" t="s">
        <v>32</v>
      </c>
      <c r="D206" t="s">
        <v>17</v>
      </c>
      <c r="E206">
        <v>9499894</v>
      </c>
      <c r="F206">
        <v>46</v>
      </c>
      <c r="G206">
        <v>175490</v>
      </c>
      <c r="H206" t="s">
        <v>14</v>
      </c>
      <c r="I206" t="s">
        <v>24</v>
      </c>
      <c r="J206">
        <v>85</v>
      </c>
      <c r="K206" t="s">
        <v>25</v>
      </c>
    </row>
    <row r="207" spans="1:11" x14ac:dyDescent="0.55000000000000004">
      <c r="A207" t="s">
        <v>235</v>
      </c>
      <c r="B207">
        <v>59</v>
      </c>
      <c r="C207" t="s">
        <v>32</v>
      </c>
      <c r="D207" t="s">
        <v>23</v>
      </c>
      <c r="E207">
        <v>8781739</v>
      </c>
      <c r="F207">
        <v>39</v>
      </c>
      <c r="G207">
        <v>230548</v>
      </c>
      <c r="H207" t="s">
        <v>14</v>
      </c>
      <c r="I207" t="s">
        <v>24</v>
      </c>
      <c r="J207">
        <v>115</v>
      </c>
      <c r="K207" t="s">
        <v>25</v>
      </c>
    </row>
    <row r="208" spans="1:11" x14ac:dyDescent="0.55000000000000004">
      <c r="A208" t="s">
        <v>236</v>
      </c>
      <c r="B208">
        <v>65</v>
      </c>
      <c r="C208" t="s">
        <v>12</v>
      </c>
      <c r="D208" t="s">
        <v>28</v>
      </c>
      <c r="E208">
        <v>9549870</v>
      </c>
      <c r="F208">
        <v>47</v>
      </c>
      <c r="G208">
        <v>458767</v>
      </c>
      <c r="H208" t="s">
        <v>14</v>
      </c>
      <c r="I208" t="s">
        <v>14</v>
      </c>
      <c r="J208">
        <v>60</v>
      </c>
      <c r="K208" t="s">
        <v>15</v>
      </c>
    </row>
    <row r="209" spans="1:11" x14ac:dyDescent="0.55000000000000004">
      <c r="A209" t="s">
        <v>237</v>
      </c>
      <c r="B209">
        <v>49</v>
      </c>
      <c r="C209" t="s">
        <v>22</v>
      </c>
      <c r="D209" t="s">
        <v>23</v>
      </c>
      <c r="E209">
        <v>5986328</v>
      </c>
      <c r="F209">
        <v>53</v>
      </c>
      <c r="G209">
        <v>242764</v>
      </c>
      <c r="H209" t="s">
        <v>14</v>
      </c>
      <c r="I209" t="s">
        <v>14</v>
      </c>
      <c r="J209">
        <v>85</v>
      </c>
      <c r="K209" t="s">
        <v>25</v>
      </c>
    </row>
    <row r="210" spans="1:11" x14ac:dyDescent="0.55000000000000004">
      <c r="A210" t="s">
        <v>238</v>
      </c>
      <c r="B210">
        <v>67</v>
      </c>
      <c r="C210" t="s">
        <v>12</v>
      </c>
      <c r="D210" t="s">
        <v>41</v>
      </c>
      <c r="E210">
        <v>7459911</v>
      </c>
      <c r="F210">
        <v>21</v>
      </c>
      <c r="G210">
        <v>353708</v>
      </c>
      <c r="H210" t="s">
        <v>14</v>
      </c>
      <c r="I210" t="s">
        <v>14</v>
      </c>
      <c r="J210">
        <v>80</v>
      </c>
      <c r="K210" t="s">
        <v>15</v>
      </c>
    </row>
    <row r="211" spans="1:11" x14ac:dyDescent="0.55000000000000004">
      <c r="A211" t="s">
        <v>239</v>
      </c>
      <c r="B211">
        <v>30</v>
      </c>
      <c r="C211" t="s">
        <v>45</v>
      </c>
      <c r="D211" t="s">
        <v>13</v>
      </c>
      <c r="E211">
        <v>1830497</v>
      </c>
      <c r="F211">
        <v>54</v>
      </c>
      <c r="G211">
        <v>49755</v>
      </c>
      <c r="H211" t="s">
        <v>14</v>
      </c>
      <c r="I211" t="s">
        <v>14</v>
      </c>
      <c r="J211">
        <v>35</v>
      </c>
      <c r="K211" t="s">
        <v>18</v>
      </c>
    </row>
    <row r="212" spans="1:11" x14ac:dyDescent="0.55000000000000004">
      <c r="A212" t="s">
        <v>240</v>
      </c>
      <c r="B212">
        <v>27</v>
      </c>
      <c r="C212" t="s">
        <v>30</v>
      </c>
      <c r="D212" t="s">
        <v>36</v>
      </c>
      <c r="E212">
        <v>9634352</v>
      </c>
      <c r="F212">
        <v>4</v>
      </c>
      <c r="G212">
        <v>312476</v>
      </c>
      <c r="H212" t="s">
        <v>14</v>
      </c>
      <c r="I212" t="s">
        <v>24</v>
      </c>
      <c r="J212">
        <v>80</v>
      </c>
      <c r="K212" t="s">
        <v>15</v>
      </c>
    </row>
    <row r="213" spans="1:11" x14ac:dyDescent="0.55000000000000004">
      <c r="A213" t="s">
        <v>241</v>
      </c>
      <c r="B213">
        <v>56</v>
      </c>
      <c r="C213" t="s">
        <v>30</v>
      </c>
      <c r="D213" t="s">
        <v>28</v>
      </c>
      <c r="E213">
        <v>2350700</v>
      </c>
      <c r="F213">
        <v>27</v>
      </c>
      <c r="G213">
        <v>190387</v>
      </c>
      <c r="H213" t="s">
        <v>14</v>
      </c>
      <c r="I213" t="s">
        <v>24</v>
      </c>
      <c r="J213">
        <v>80</v>
      </c>
      <c r="K213" t="s">
        <v>15</v>
      </c>
    </row>
    <row r="214" spans="1:11" x14ac:dyDescent="0.55000000000000004">
      <c r="A214" t="s">
        <v>242</v>
      </c>
      <c r="B214">
        <v>69</v>
      </c>
      <c r="C214" t="s">
        <v>40</v>
      </c>
      <c r="D214" t="s">
        <v>28</v>
      </c>
      <c r="E214">
        <v>1163121</v>
      </c>
      <c r="F214">
        <v>19</v>
      </c>
      <c r="G214">
        <v>319787</v>
      </c>
      <c r="H214" t="s">
        <v>14</v>
      </c>
      <c r="I214" t="s">
        <v>24</v>
      </c>
      <c r="J214">
        <v>80</v>
      </c>
      <c r="K214" t="s">
        <v>15</v>
      </c>
    </row>
    <row r="215" spans="1:11" x14ac:dyDescent="0.55000000000000004">
      <c r="A215" t="s">
        <v>243</v>
      </c>
      <c r="B215">
        <v>27</v>
      </c>
      <c r="C215" t="s">
        <v>22</v>
      </c>
      <c r="D215" t="s">
        <v>36</v>
      </c>
      <c r="E215">
        <v>8389795</v>
      </c>
      <c r="F215">
        <v>15</v>
      </c>
      <c r="G215">
        <v>449216</v>
      </c>
      <c r="H215" t="s">
        <v>14</v>
      </c>
      <c r="I215" t="s">
        <v>14</v>
      </c>
      <c r="J215">
        <v>60</v>
      </c>
      <c r="K215" t="s">
        <v>15</v>
      </c>
    </row>
    <row r="216" spans="1:11" x14ac:dyDescent="0.55000000000000004">
      <c r="A216" t="s">
        <v>244</v>
      </c>
      <c r="B216">
        <v>75</v>
      </c>
      <c r="C216" t="s">
        <v>30</v>
      </c>
      <c r="D216" t="s">
        <v>13</v>
      </c>
      <c r="E216">
        <v>4973599</v>
      </c>
      <c r="F216">
        <v>37</v>
      </c>
      <c r="G216">
        <v>123572</v>
      </c>
      <c r="H216" t="s">
        <v>14</v>
      </c>
      <c r="I216" t="s">
        <v>24</v>
      </c>
      <c r="J216">
        <v>85</v>
      </c>
      <c r="K216" t="s">
        <v>25</v>
      </c>
    </row>
    <row r="217" spans="1:11" x14ac:dyDescent="0.55000000000000004">
      <c r="A217" t="s">
        <v>245</v>
      </c>
      <c r="B217">
        <v>75</v>
      </c>
      <c r="C217" t="s">
        <v>20</v>
      </c>
      <c r="D217" t="s">
        <v>17</v>
      </c>
      <c r="E217">
        <v>4787028</v>
      </c>
      <c r="F217">
        <v>2</v>
      </c>
      <c r="G217">
        <v>99589</v>
      </c>
      <c r="H217" t="s">
        <v>14</v>
      </c>
      <c r="I217" t="s">
        <v>14</v>
      </c>
      <c r="J217">
        <v>25</v>
      </c>
      <c r="K217" t="s">
        <v>18</v>
      </c>
    </row>
    <row r="218" spans="1:11" x14ac:dyDescent="0.55000000000000004">
      <c r="A218" t="s">
        <v>246</v>
      </c>
      <c r="B218">
        <v>69</v>
      </c>
      <c r="C218" t="s">
        <v>32</v>
      </c>
      <c r="D218" t="s">
        <v>41</v>
      </c>
      <c r="E218">
        <v>6189195</v>
      </c>
      <c r="F218">
        <v>1</v>
      </c>
      <c r="G218">
        <v>100108</v>
      </c>
      <c r="H218" t="s">
        <v>14</v>
      </c>
      <c r="I218" t="s">
        <v>24</v>
      </c>
      <c r="J218">
        <v>100</v>
      </c>
      <c r="K218" t="s">
        <v>25</v>
      </c>
    </row>
    <row r="219" spans="1:11" x14ac:dyDescent="0.55000000000000004">
      <c r="A219" t="s">
        <v>247</v>
      </c>
      <c r="B219">
        <v>57</v>
      </c>
      <c r="C219" t="s">
        <v>40</v>
      </c>
      <c r="D219" t="s">
        <v>13</v>
      </c>
      <c r="E219">
        <v>2680261</v>
      </c>
      <c r="F219">
        <v>48</v>
      </c>
      <c r="G219">
        <v>336964</v>
      </c>
      <c r="H219" t="s">
        <v>14</v>
      </c>
      <c r="I219" t="s">
        <v>24</v>
      </c>
      <c r="J219">
        <v>85</v>
      </c>
      <c r="K219" t="s">
        <v>25</v>
      </c>
    </row>
    <row r="220" spans="1:11" x14ac:dyDescent="0.55000000000000004">
      <c r="A220" t="s">
        <v>248</v>
      </c>
      <c r="B220">
        <v>26</v>
      </c>
      <c r="C220" t="s">
        <v>22</v>
      </c>
      <c r="D220" t="s">
        <v>23</v>
      </c>
      <c r="E220">
        <v>7343620</v>
      </c>
      <c r="F220">
        <v>30</v>
      </c>
      <c r="G220">
        <v>183727</v>
      </c>
      <c r="H220" t="s">
        <v>14</v>
      </c>
      <c r="I220" t="s">
        <v>14</v>
      </c>
      <c r="J220">
        <v>75</v>
      </c>
      <c r="K220" t="s">
        <v>15</v>
      </c>
    </row>
    <row r="221" spans="1:11" x14ac:dyDescent="0.55000000000000004">
      <c r="A221" t="s">
        <v>249</v>
      </c>
      <c r="B221">
        <v>40</v>
      </c>
      <c r="C221" t="s">
        <v>30</v>
      </c>
      <c r="D221" t="s">
        <v>17</v>
      </c>
      <c r="E221">
        <v>1725342</v>
      </c>
      <c r="F221">
        <v>57</v>
      </c>
      <c r="G221">
        <v>32582</v>
      </c>
      <c r="H221" t="s">
        <v>14</v>
      </c>
      <c r="I221" t="s">
        <v>24</v>
      </c>
      <c r="J221">
        <v>65</v>
      </c>
      <c r="K221" t="s">
        <v>15</v>
      </c>
    </row>
    <row r="222" spans="1:11" x14ac:dyDescent="0.55000000000000004">
      <c r="A222" t="s">
        <v>250</v>
      </c>
      <c r="B222">
        <v>69</v>
      </c>
      <c r="C222" t="s">
        <v>20</v>
      </c>
      <c r="D222" t="s">
        <v>28</v>
      </c>
      <c r="E222">
        <v>1668710</v>
      </c>
      <c r="F222">
        <v>18</v>
      </c>
      <c r="G222">
        <v>237318</v>
      </c>
      <c r="H222" t="s">
        <v>14</v>
      </c>
      <c r="I222" t="s">
        <v>14</v>
      </c>
      <c r="J222">
        <v>50</v>
      </c>
      <c r="K222" t="s">
        <v>15</v>
      </c>
    </row>
    <row r="223" spans="1:11" x14ac:dyDescent="0.55000000000000004">
      <c r="A223" t="s">
        <v>251</v>
      </c>
      <c r="B223">
        <v>52</v>
      </c>
      <c r="C223" t="s">
        <v>45</v>
      </c>
      <c r="D223" t="s">
        <v>23</v>
      </c>
      <c r="E223">
        <v>4882979</v>
      </c>
      <c r="F223">
        <v>14</v>
      </c>
      <c r="G223">
        <v>400807</v>
      </c>
      <c r="H223" t="s">
        <v>14</v>
      </c>
      <c r="I223" t="s">
        <v>14</v>
      </c>
      <c r="J223">
        <v>75</v>
      </c>
      <c r="K223" t="s">
        <v>15</v>
      </c>
    </row>
    <row r="224" spans="1:11" x14ac:dyDescent="0.55000000000000004">
      <c r="A224" t="s">
        <v>252</v>
      </c>
      <c r="B224">
        <v>43</v>
      </c>
      <c r="C224" t="s">
        <v>40</v>
      </c>
      <c r="D224" t="s">
        <v>13</v>
      </c>
      <c r="E224">
        <v>5052087</v>
      </c>
      <c r="F224">
        <v>44</v>
      </c>
      <c r="G224">
        <v>360722</v>
      </c>
      <c r="H224" t="s">
        <v>14</v>
      </c>
      <c r="I224" t="s">
        <v>24</v>
      </c>
      <c r="J224">
        <v>85</v>
      </c>
      <c r="K224" t="s">
        <v>25</v>
      </c>
    </row>
    <row r="225" spans="1:11" x14ac:dyDescent="0.55000000000000004">
      <c r="A225" t="s">
        <v>253</v>
      </c>
      <c r="B225">
        <v>54</v>
      </c>
      <c r="C225" t="s">
        <v>32</v>
      </c>
      <c r="D225" t="s">
        <v>13</v>
      </c>
      <c r="E225">
        <v>3999685</v>
      </c>
      <c r="F225">
        <v>26</v>
      </c>
      <c r="G225">
        <v>319218</v>
      </c>
      <c r="H225" t="s">
        <v>14</v>
      </c>
      <c r="I225" t="s">
        <v>24</v>
      </c>
      <c r="J225">
        <v>75</v>
      </c>
      <c r="K225" t="s">
        <v>15</v>
      </c>
    </row>
    <row r="226" spans="1:11" x14ac:dyDescent="0.55000000000000004">
      <c r="A226" t="s">
        <v>254</v>
      </c>
      <c r="B226">
        <v>34</v>
      </c>
      <c r="C226" t="s">
        <v>32</v>
      </c>
      <c r="D226" t="s">
        <v>36</v>
      </c>
      <c r="E226">
        <v>2602417</v>
      </c>
      <c r="F226">
        <v>49</v>
      </c>
      <c r="G226">
        <v>138965</v>
      </c>
      <c r="H226" t="s">
        <v>14</v>
      </c>
      <c r="I226" t="s">
        <v>24</v>
      </c>
      <c r="J226">
        <v>100</v>
      </c>
      <c r="K226" t="s">
        <v>25</v>
      </c>
    </row>
    <row r="227" spans="1:11" x14ac:dyDescent="0.55000000000000004">
      <c r="A227" t="s">
        <v>255</v>
      </c>
      <c r="B227">
        <v>28</v>
      </c>
      <c r="C227" t="s">
        <v>20</v>
      </c>
      <c r="D227" t="s">
        <v>23</v>
      </c>
      <c r="E227">
        <v>7525192</v>
      </c>
      <c r="F227">
        <v>12</v>
      </c>
      <c r="G227">
        <v>72730</v>
      </c>
      <c r="H227" t="s">
        <v>14</v>
      </c>
      <c r="I227" t="s">
        <v>14</v>
      </c>
      <c r="J227">
        <v>65</v>
      </c>
      <c r="K227" t="s">
        <v>15</v>
      </c>
    </row>
    <row r="228" spans="1:11" x14ac:dyDescent="0.55000000000000004">
      <c r="A228" t="s">
        <v>256</v>
      </c>
      <c r="B228">
        <v>66</v>
      </c>
      <c r="C228" t="s">
        <v>22</v>
      </c>
      <c r="D228" t="s">
        <v>17</v>
      </c>
      <c r="E228">
        <v>9673825</v>
      </c>
      <c r="F228">
        <v>54</v>
      </c>
      <c r="G228">
        <v>355249</v>
      </c>
      <c r="H228" t="s">
        <v>14</v>
      </c>
      <c r="I228" t="s">
        <v>14</v>
      </c>
      <c r="J228">
        <v>55</v>
      </c>
      <c r="K228" t="s">
        <v>15</v>
      </c>
    </row>
    <row r="229" spans="1:11" x14ac:dyDescent="0.55000000000000004">
      <c r="A229" t="s">
        <v>257</v>
      </c>
      <c r="B229">
        <v>25</v>
      </c>
      <c r="C229" t="s">
        <v>40</v>
      </c>
      <c r="D229" t="s">
        <v>28</v>
      </c>
      <c r="E229">
        <v>1009714</v>
      </c>
      <c r="F229">
        <v>28</v>
      </c>
      <c r="G229">
        <v>14825</v>
      </c>
      <c r="H229" t="s">
        <v>14</v>
      </c>
      <c r="I229" t="s">
        <v>24</v>
      </c>
      <c r="J229">
        <v>60</v>
      </c>
      <c r="K229" t="s">
        <v>15</v>
      </c>
    </row>
    <row r="230" spans="1:11" x14ac:dyDescent="0.55000000000000004">
      <c r="A230" t="s">
        <v>258</v>
      </c>
      <c r="B230">
        <v>25</v>
      </c>
      <c r="C230" t="s">
        <v>30</v>
      </c>
      <c r="D230" t="s">
        <v>17</v>
      </c>
      <c r="E230">
        <v>7502195</v>
      </c>
      <c r="F230">
        <v>37</v>
      </c>
      <c r="G230">
        <v>217034</v>
      </c>
      <c r="H230" t="s">
        <v>14</v>
      </c>
      <c r="I230" t="s">
        <v>24</v>
      </c>
      <c r="J230">
        <v>85</v>
      </c>
      <c r="K230" t="s">
        <v>25</v>
      </c>
    </row>
    <row r="231" spans="1:11" x14ac:dyDescent="0.55000000000000004">
      <c r="A231" t="s">
        <v>259</v>
      </c>
      <c r="B231">
        <v>47</v>
      </c>
      <c r="C231" t="s">
        <v>32</v>
      </c>
      <c r="D231" t="s">
        <v>13</v>
      </c>
      <c r="E231">
        <v>7095314</v>
      </c>
      <c r="F231">
        <v>2</v>
      </c>
      <c r="G231">
        <v>175272</v>
      </c>
      <c r="H231" t="s">
        <v>14</v>
      </c>
      <c r="I231" t="s">
        <v>24</v>
      </c>
      <c r="J231">
        <v>65</v>
      </c>
      <c r="K231" t="s">
        <v>15</v>
      </c>
    </row>
    <row r="232" spans="1:11" x14ac:dyDescent="0.55000000000000004">
      <c r="A232" t="s">
        <v>260</v>
      </c>
      <c r="B232">
        <v>60</v>
      </c>
      <c r="C232" t="s">
        <v>45</v>
      </c>
      <c r="D232" t="s">
        <v>28</v>
      </c>
      <c r="E232">
        <v>6370880</v>
      </c>
      <c r="F232">
        <v>6</v>
      </c>
      <c r="G232">
        <v>233962</v>
      </c>
      <c r="H232" t="s">
        <v>14</v>
      </c>
      <c r="I232" t="s">
        <v>14</v>
      </c>
      <c r="J232">
        <v>40</v>
      </c>
      <c r="K232" t="s">
        <v>18</v>
      </c>
    </row>
    <row r="233" spans="1:11" x14ac:dyDescent="0.55000000000000004">
      <c r="A233" t="s">
        <v>261</v>
      </c>
      <c r="B233">
        <v>36</v>
      </c>
      <c r="C233" t="s">
        <v>40</v>
      </c>
      <c r="D233" t="s">
        <v>17</v>
      </c>
      <c r="E233">
        <v>7018433</v>
      </c>
      <c r="F233">
        <v>34</v>
      </c>
      <c r="G233">
        <v>46233</v>
      </c>
      <c r="H233" t="s">
        <v>14</v>
      </c>
      <c r="I233" t="s">
        <v>24</v>
      </c>
      <c r="J233">
        <v>65</v>
      </c>
      <c r="K233" t="s">
        <v>15</v>
      </c>
    </row>
    <row r="234" spans="1:11" x14ac:dyDescent="0.55000000000000004">
      <c r="A234" t="s">
        <v>262</v>
      </c>
      <c r="B234">
        <v>40</v>
      </c>
      <c r="C234" t="s">
        <v>30</v>
      </c>
      <c r="D234" t="s">
        <v>36</v>
      </c>
      <c r="E234">
        <v>5887964</v>
      </c>
      <c r="F234">
        <v>50</v>
      </c>
      <c r="G234">
        <v>93149</v>
      </c>
      <c r="H234" t="s">
        <v>14</v>
      </c>
      <c r="I234" t="s">
        <v>24</v>
      </c>
      <c r="J234">
        <v>90</v>
      </c>
      <c r="K234" t="s">
        <v>25</v>
      </c>
    </row>
    <row r="235" spans="1:11" x14ac:dyDescent="0.55000000000000004">
      <c r="A235" t="s">
        <v>263</v>
      </c>
      <c r="B235">
        <v>61</v>
      </c>
      <c r="C235" t="s">
        <v>12</v>
      </c>
      <c r="D235" t="s">
        <v>17</v>
      </c>
      <c r="E235">
        <v>8855575</v>
      </c>
      <c r="F235">
        <v>13</v>
      </c>
      <c r="G235">
        <v>479964</v>
      </c>
      <c r="H235" t="s">
        <v>14</v>
      </c>
      <c r="I235" t="s">
        <v>14</v>
      </c>
      <c r="J235">
        <v>45</v>
      </c>
      <c r="K235" t="s">
        <v>15</v>
      </c>
    </row>
    <row r="236" spans="1:11" x14ac:dyDescent="0.55000000000000004">
      <c r="A236" t="s">
        <v>264</v>
      </c>
      <c r="B236">
        <v>43</v>
      </c>
      <c r="C236" t="s">
        <v>27</v>
      </c>
      <c r="D236" t="s">
        <v>36</v>
      </c>
      <c r="E236">
        <v>2024773</v>
      </c>
      <c r="F236">
        <v>10</v>
      </c>
      <c r="G236">
        <v>139201</v>
      </c>
      <c r="H236" t="s">
        <v>14</v>
      </c>
      <c r="I236" t="s">
        <v>14</v>
      </c>
      <c r="J236">
        <v>60</v>
      </c>
      <c r="K236" t="s">
        <v>15</v>
      </c>
    </row>
    <row r="237" spans="1:11" x14ac:dyDescent="0.55000000000000004">
      <c r="A237" t="s">
        <v>265</v>
      </c>
      <c r="B237">
        <v>59</v>
      </c>
      <c r="C237" t="s">
        <v>27</v>
      </c>
      <c r="D237" t="s">
        <v>28</v>
      </c>
      <c r="E237">
        <v>1564218</v>
      </c>
      <c r="F237">
        <v>12</v>
      </c>
      <c r="G237">
        <v>410194</v>
      </c>
      <c r="H237" t="s">
        <v>14</v>
      </c>
      <c r="I237" t="s">
        <v>14</v>
      </c>
      <c r="J237">
        <v>50</v>
      </c>
      <c r="K237" t="s">
        <v>15</v>
      </c>
    </row>
    <row r="238" spans="1:11" x14ac:dyDescent="0.55000000000000004">
      <c r="A238" t="s">
        <v>266</v>
      </c>
      <c r="B238">
        <v>50</v>
      </c>
      <c r="C238" t="s">
        <v>45</v>
      </c>
      <c r="D238" t="s">
        <v>28</v>
      </c>
      <c r="E238">
        <v>9770600</v>
      </c>
      <c r="F238">
        <v>42</v>
      </c>
      <c r="G238">
        <v>338079</v>
      </c>
      <c r="H238" t="s">
        <v>14</v>
      </c>
      <c r="I238" t="s">
        <v>14</v>
      </c>
      <c r="J238">
        <v>60</v>
      </c>
      <c r="K238" t="s">
        <v>15</v>
      </c>
    </row>
    <row r="239" spans="1:11" x14ac:dyDescent="0.55000000000000004">
      <c r="A239" t="s">
        <v>267</v>
      </c>
      <c r="B239">
        <v>41</v>
      </c>
      <c r="C239" t="s">
        <v>30</v>
      </c>
      <c r="D239" t="s">
        <v>36</v>
      </c>
      <c r="E239">
        <v>7677995</v>
      </c>
      <c r="F239">
        <v>5</v>
      </c>
      <c r="G239">
        <v>250849</v>
      </c>
      <c r="H239" t="s">
        <v>14</v>
      </c>
      <c r="I239" t="s">
        <v>24</v>
      </c>
      <c r="J239">
        <v>80</v>
      </c>
      <c r="K239" t="s">
        <v>15</v>
      </c>
    </row>
    <row r="240" spans="1:11" x14ac:dyDescent="0.55000000000000004">
      <c r="A240" t="s">
        <v>268</v>
      </c>
      <c r="B240">
        <v>40</v>
      </c>
      <c r="C240" t="s">
        <v>32</v>
      </c>
      <c r="D240" t="s">
        <v>17</v>
      </c>
      <c r="E240">
        <v>1242411</v>
      </c>
      <c r="F240">
        <v>23</v>
      </c>
      <c r="G240">
        <v>270990</v>
      </c>
      <c r="H240" t="s">
        <v>14</v>
      </c>
      <c r="I240" t="s">
        <v>24</v>
      </c>
      <c r="J240">
        <v>75</v>
      </c>
      <c r="K240" t="s">
        <v>15</v>
      </c>
    </row>
    <row r="241" spans="1:11" x14ac:dyDescent="0.55000000000000004">
      <c r="A241" t="s">
        <v>269</v>
      </c>
      <c r="B241">
        <v>50</v>
      </c>
      <c r="C241" t="s">
        <v>45</v>
      </c>
      <c r="D241" t="s">
        <v>13</v>
      </c>
      <c r="E241">
        <v>1254456</v>
      </c>
      <c r="F241">
        <v>24</v>
      </c>
      <c r="G241">
        <v>441048</v>
      </c>
      <c r="H241" t="s">
        <v>14</v>
      </c>
      <c r="I241" t="s">
        <v>14</v>
      </c>
      <c r="J241">
        <v>45</v>
      </c>
      <c r="K241" t="s">
        <v>15</v>
      </c>
    </row>
    <row r="242" spans="1:11" x14ac:dyDescent="0.55000000000000004">
      <c r="A242" t="s">
        <v>270</v>
      </c>
      <c r="B242">
        <v>62</v>
      </c>
      <c r="C242" t="s">
        <v>12</v>
      </c>
      <c r="D242" t="s">
        <v>17</v>
      </c>
      <c r="E242">
        <v>8807186</v>
      </c>
      <c r="F242">
        <v>25</v>
      </c>
      <c r="G242">
        <v>247594</v>
      </c>
      <c r="H242" t="s">
        <v>14</v>
      </c>
      <c r="I242" t="s">
        <v>14</v>
      </c>
      <c r="J242">
        <v>45</v>
      </c>
      <c r="K242" t="s">
        <v>15</v>
      </c>
    </row>
    <row r="243" spans="1:11" x14ac:dyDescent="0.55000000000000004">
      <c r="A243" t="s">
        <v>271</v>
      </c>
      <c r="B243">
        <v>71</v>
      </c>
      <c r="C243" t="s">
        <v>20</v>
      </c>
      <c r="D243" t="s">
        <v>23</v>
      </c>
      <c r="E243">
        <v>9890807</v>
      </c>
      <c r="F243">
        <v>42</v>
      </c>
      <c r="G243">
        <v>103691</v>
      </c>
      <c r="H243" t="s">
        <v>14</v>
      </c>
      <c r="I243" t="s">
        <v>14</v>
      </c>
      <c r="J243">
        <v>85</v>
      </c>
      <c r="K243" t="s">
        <v>25</v>
      </c>
    </row>
    <row r="244" spans="1:11" x14ac:dyDescent="0.55000000000000004">
      <c r="A244" t="s">
        <v>272</v>
      </c>
      <c r="B244">
        <v>51</v>
      </c>
      <c r="C244" t="s">
        <v>27</v>
      </c>
      <c r="D244" t="s">
        <v>13</v>
      </c>
      <c r="E244">
        <v>7858523</v>
      </c>
      <c r="F244">
        <v>7</v>
      </c>
      <c r="G244">
        <v>430180</v>
      </c>
      <c r="H244" t="s">
        <v>14</v>
      </c>
      <c r="I244" t="s">
        <v>14</v>
      </c>
      <c r="J244">
        <v>35</v>
      </c>
      <c r="K244" t="s">
        <v>18</v>
      </c>
    </row>
    <row r="245" spans="1:11" x14ac:dyDescent="0.55000000000000004">
      <c r="A245" t="s">
        <v>273</v>
      </c>
      <c r="B245">
        <v>42</v>
      </c>
      <c r="C245" t="s">
        <v>12</v>
      </c>
      <c r="D245" t="s">
        <v>17</v>
      </c>
      <c r="E245">
        <v>3195058</v>
      </c>
      <c r="F245">
        <v>3</v>
      </c>
      <c r="G245">
        <v>134889</v>
      </c>
      <c r="H245" t="s">
        <v>14</v>
      </c>
      <c r="I245" t="s">
        <v>14</v>
      </c>
      <c r="J245">
        <v>35</v>
      </c>
      <c r="K245" t="s">
        <v>18</v>
      </c>
    </row>
    <row r="246" spans="1:11" x14ac:dyDescent="0.55000000000000004">
      <c r="A246" t="s">
        <v>274</v>
      </c>
      <c r="B246">
        <v>49</v>
      </c>
      <c r="C246" t="s">
        <v>27</v>
      </c>
      <c r="D246" t="s">
        <v>41</v>
      </c>
      <c r="E246">
        <v>6555418</v>
      </c>
      <c r="F246">
        <v>59</v>
      </c>
      <c r="G246">
        <v>153317</v>
      </c>
      <c r="H246" t="s">
        <v>14</v>
      </c>
      <c r="I246" t="s">
        <v>14</v>
      </c>
      <c r="J246">
        <v>90</v>
      </c>
      <c r="K246" t="s">
        <v>25</v>
      </c>
    </row>
    <row r="247" spans="1:11" x14ac:dyDescent="0.55000000000000004">
      <c r="A247" t="s">
        <v>275</v>
      </c>
      <c r="B247">
        <v>70</v>
      </c>
      <c r="C247" t="s">
        <v>30</v>
      </c>
      <c r="D247" t="s">
        <v>28</v>
      </c>
      <c r="E247">
        <v>1178547</v>
      </c>
      <c r="F247">
        <v>51</v>
      </c>
      <c r="G247">
        <v>335766</v>
      </c>
      <c r="H247" t="s">
        <v>14</v>
      </c>
      <c r="I247" t="s">
        <v>24</v>
      </c>
      <c r="J247">
        <v>90</v>
      </c>
      <c r="K247" t="s">
        <v>25</v>
      </c>
    </row>
    <row r="248" spans="1:11" x14ac:dyDescent="0.55000000000000004">
      <c r="A248" t="s">
        <v>276</v>
      </c>
      <c r="B248">
        <v>25</v>
      </c>
      <c r="C248" t="s">
        <v>30</v>
      </c>
      <c r="D248" t="s">
        <v>13</v>
      </c>
      <c r="E248">
        <v>9661069</v>
      </c>
      <c r="F248">
        <v>44</v>
      </c>
      <c r="G248">
        <v>207670</v>
      </c>
      <c r="H248" t="s">
        <v>14</v>
      </c>
      <c r="I248" t="s">
        <v>24</v>
      </c>
      <c r="J248">
        <v>85</v>
      </c>
      <c r="K248" t="s">
        <v>25</v>
      </c>
    </row>
    <row r="249" spans="1:11" x14ac:dyDescent="0.55000000000000004">
      <c r="A249" t="s">
        <v>277</v>
      </c>
      <c r="B249">
        <v>67</v>
      </c>
      <c r="C249" t="s">
        <v>27</v>
      </c>
      <c r="D249" t="s">
        <v>41</v>
      </c>
      <c r="E249">
        <v>1667376</v>
      </c>
      <c r="F249">
        <v>38</v>
      </c>
      <c r="G249">
        <v>352923</v>
      </c>
      <c r="H249" t="s">
        <v>14</v>
      </c>
      <c r="I249" t="s">
        <v>14</v>
      </c>
      <c r="J249">
        <v>90</v>
      </c>
      <c r="K249" t="s">
        <v>25</v>
      </c>
    </row>
    <row r="250" spans="1:11" x14ac:dyDescent="0.55000000000000004">
      <c r="A250" t="s">
        <v>278</v>
      </c>
      <c r="B250">
        <v>43</v>
      </c>
      <c r="C250" t="s">
        <v>32</v>
      </c>
      <c r="D250" t="s">
        <v>28</v>
      </c>
      <c r="E250">
        <v>6875963</v>
      </c>
      <c r="F250">
        <v>9</v>
      </c>
      <c r="G250">
        <v>316972</v>
      </c>
      <c r="H250" t="s">
        <v>14</v>
      </c>
      <c r="I250" t="s">
        <v>24</v>
      </c>
      <c r="J250">
        <v>70</v>
      </c>
      <c r="K250" t="s">
        <v>15</v>
      </c>
    </row>
    <row r="251" spans="1:11" x14ac:dyDescent="0.55000000000000004">
      <c r="A251" t="s">
        <v>279</v>
      </c>
      <c r="B251">
        <v>26</v>
      </c>
      <c r="C251" t="s">
        <v>32</v>
      </c>
      <c r="D251" t="s">
        <v>17</v>
      </c>
      <c r="E251">
        <v>6619630</v>
      </c>
      <c r="F251">
        <v>42</v>
      </c>
      <c r="G251">
        <v>420058</v>
      </c>
      <c r="H251" t="s">
        <v>14</v>
      </c>
      <c r="I251" t="s">
        <v>24</v>
      </c>
      <c r="J251">
        <v>85</v>
      </c>
      <c r="K251" t="s">
        <v>25</v>
      </c>
    </row>
    <row r="252" spans="1:11" x14ac:dyDescent="0.55000000000000004">
      <c r="A252" t="s">
        <v>280</v>
      </c>
      <c r="B252">
        <v>29</v>
      </c>
      <c r="C252" t="s">
        <v>12</v>
      </c>
      <c r="D252" t="s">
        <v>28</v>
      </c>
      <c r="E252">
        <v>7403580</v>
      </c>
      <c r="F252">
        <v>33</v>
      </c>
      <c r="G252">
        <v>194702</v>
      </c>
      <c r="H252" t="s">
        <v>24</v>
      </c>
      <c r="I252" t="s">
        <v>14</v>
      </c>
      <c r="J252">
        <v>100</v>
      </c>
      <c r="K252" t="s">
        <v>25</v>
      </c>
    </row>
    <row r="253" spans="1:11" x14ac:dyDescent="0.55000000000000004">
      <c r="A253" t="s">
        <v>281</v>
      </c>
      <c r="B253">
        <v>40</v>
      </c>
      <c r="C253" t="s">
        <v>27</v>
      </c>
      <c r="D253" t="s">
        <v>36</v>
      </c>
      <c r="E253">
        <v>6033317</v>
      </c>
      <c r="F253">
        <v>50</v>
      </c>
      <c r="G253">
        <v>259946</v>
      </c>
      <c r="H253" t="s">
        <v>14</v>
      </c>
      <c r="I253" t="s">
        <v>14</v>
      </c>
      <c r="J253">
        <v>70</v>
      </c>
      <c r="K253" t="s">
        <v>15</v>
      </c>
    </row>
    <row r="254" spans="1:11" x14ac:dyDescent="0.55000000000000004">
      <c r="A254" t="s">
        <v>282</v>
      </c>
      <c r="B254">
        <v>29</v>
      </c>
      <c r="C254" t="s">
        <v>27</v>
      </c>
      <c r="D254" t="s">
        <v>13</v>
      </c>
      <c r="E254">
        <v>5262567</v>
      </c>
      <c r="F254">
        <v>55</v>
      </c>
      <c r="G254">
        <v>418201</v>
      </c>
      <c r="H254" t="s">
        <v>14</v>
      </c>
      <c r="I254" t="s">
        <v>14</v>
      </c>
      <c r="J254">
        <v>55</v>
      </c>
      <c r="K254" t="s">
        <v>15</v>
      </c>
    </row>
    <row r="255" spans="1:11" x14ac:dyDescent="0.55000000000000004">
      <c r="A255" t="s">
        <v>283</v>
      </c>
      <c r="B255">
        <v>70</v>
      </c>
      <c r="C255" t="s">
        <v>20</v>
      </c>
      <c r="D255" t="s">
        <v>28</v>
      </c>
      <c r="E255">
        <v>5949968</v>
      </c>
      <c r="F255">
        <v>57</v>
      </c>
      <c r="G255">
        <v>406765</v>
      </c>
      <c r="H255" t="s">
        <v>14</v>
      </c>
      <c r="I255" t="s">
        <v>14</v>
      </c>
      <c r="J255">
        <v>60</v>
      </c>
      <c r="K255" t="s">
        <v>15</v>
      </c>
    </row>
    <row r="256" spans="1:11" x14ac:dyDescent="0.55000000000000004">
      <c r="A256" t="s">
        <v>284</v>
      </c>
      <c r="B256">
        <v>59</v>
      </c>
      <c r="C256" t="s">
        <v>40</v>
      </c>
      <c r="D256" t="s">
        <v>36</v>
      </c>
      <c r="E256">
        <v>3022056</v>
      </c>
      <c r="F256">
        <v>12</v>
      </c>
      <c r="G256">
        <v>440864</v>
      </c>
      <c r="H256" t="s">
        <v>14</v>
      </c>
      <c r="I256" t="s">
        <v>24</v>
      </c>
      <c r="J256">
        <v>90</v>
      </c>
      <c r="K256" t="s">
        <v>25</v>
      </c>
    </row>
    <row r="257" spans="1:11" x14ac:dyDescent="0.55000000000000004">
      <c r="A257" t="s">
        <v>285</v>
      </c>
      <c r="B257">
        <v>60</v>
      </c>
      <c r="C257" t="s">
        <v>27</v>
      </c>
      <c r="D257" t="s">
        <v>28</v>
      </c>
      <c r="E257">
        <v>7642941</v>
      </c>
      <c r="F257">
        <v>3</v>
      </c>
      <c r="G257">
        <v>220408</v>
      </c>
      <c r="H257" t="s">
        <v>14</v>
      </c>
      <c r="I257" t="s">
        <v>14</v>
      </c>
      <c r="J257">
        <v>40</v>
      </c>
      <c r="K257" t="s">
        <v>18</v>
      </c>
    </row>
    <row r="258" spans="1:11" x14ac:dyDescent="0.55000000000000004">
      <c r="A258" t="s">
        <v>286</v>
      </c>
      <c r="B258">
        <v>67</v>
      </c>
      <c r="C258" t="s">
        <v>22</v>
      </c>
      <c r="D258" t="s">
        <v>23</v>
      </c>
      <c r="E258">
        <v>5080297</v>
      </c>
      <c r="F258">
        <v>49</v>
      </c>
      <c r="G258">
        <v>397448</v>
      </c>
      <c r="H258" t="s">
        <v>14</v>
      </c>
      <c r="I258" t="s">
        <v>14</v>
      </c>
      <c r="J258">
        <v>85</v>
      </c>
      <c r="K258" t="s">
        <v>25</v>
      </c>
    </row>
    <row r="259" spans="1:11" x14ac:dyDescent="0.55000000000000004">
      <c r="A259" t="s">
        <v>287</v>
      </c>
      <c r="B259">
        <v>35</v>
      </c>
      <c r="C259" t="s">
        <v>22</v>
      </c>
      <c r="D259" t="s">
        <v>41</v>
      </c>
      <c r="E259">
        <v>8168776</v>
      </c>
      <c r="F259">
        <v>58</v>
      </c>
      <c r="G259">
        <v>442839</v>
      </c>
      <c r="H259" t="s">
        <v>14</v>
      </c>
      <c r="I259" t="s">
        <v>14</v>
      </c>
      <c r="J259">
        <v>90</v>
      </c>
      <c r="K259" t="s">
        <v>25</v>
      </c>
    </row>
    <row r="260" spans="1:11" x14ac:dyDescent="0.55000000000000004">
      <c r="A260" t="s">
        <v>288</v>
      </c>
      <c r="B260">
        <v>64</v>
      </c>
      <c r="C260" t="s">
        <v>45</v>
      </c>
      <c r="D260" t="s">
        <v>23</v>
      </c>
      <c r="E260">
        <v>5027345</v>
      </c>
      <c r="F260">
        <v>50</v>
      </c>
      <c r="G260">
        <v>205211</v>
      </c>
      <c r="H260" t="s">
        <v>14</v>
      </c>
      <c r="I260" t="s">
        <v>14</v>
      </c>
      <c r="J260">
        <v>85</v>
      </c>
      <c r="K260" t="s">
        <v>25</v>
      </c>
    </row>
    <row r="261" spans="1:11" x14ac:dyDescent="0.55000000000000004">
      <c r="A261" t="s">
        <v>289</v>
      </c>
      <c r="B261">
        <v>47</v>
      </c>
      <c r="C261" t="s">
        <v>27</v>
      </c>
      <c r="D261" t="s">
        <v>36</v>
      </c>
      <c r="E261">
        <v>2621942</v>
      </c>
      <c r="F261">
        <v>56</v>
      </c>
      <c r="G261">
        <v>136073</v>
      </c>
      <c r="H261" t="s">
        <v>14</v>
      </c>
      <c r="I261" t="s">
        <v>14</v>
      </c>
      <c r="J261">
        <v>70</v>
      </c>
      <c r="K261" t="s">
        <v>15</v>
      </c>
    </row>
    <row r="262" spans="1:11" x14ac:dyDescent="0.55000000000000004">
      <c r="A262" t="s">
        <v>290</v>
      </c>
      <c r="B262">
        <v>51</v>
      </c>
      <c r="C262" t="s">
        <v>30</v>
      </c>
      <c r="D262" t="s">
        <v>17</v>
      </c>
      <c r="E262">
        <v>2021170</v>
      </c>
      <c r="F262">
        <v>46</v>
      </c>
      <c r="G262">
        <v>448491</v>
      </c>
      <c r="H262" t="s">
        <v>14</v>
      </c>
      <c r="I262" t="s">
        <v>24</v>
      </c>
      <c r="J262">
        <v>85</v>
      </c>
      <c r="K262" t="s">
        <v>25</v>
      </c>
    </row>
    <row r="263" spans="1:11" x14ac:dyDescent="0.55000000000000004">
      <c r="A263" t="s">
        <v>291</v>
      </c>
      <c r="B263">
        <v>28</v>
      </c>
      <c r="C263" t="s">
        <v>32</v>
      </c>
      <c r="D263" t="s">
        <v>13</v>
      </c>
      <c r="E263">
        <v>2989594</v>
      </c>
      <c r="F263">
        <v>18</v>
      </c>
      <c r="G263">
        <v>240572</v>
      </c>
      <c r="H263" t="s">
        <v>14</v>
      </c>
      <c r="I263" t="s">
        <v>24</v>
      </c>
      <c r="J263">
        <v>75</v>
      </c>
      <c r="K263" t="s">
        <v>15</v>
      </c>
    </row>
    <row r="264" spans="1:11" x14ac:dyDescent="0.55000000000000004">
      <c r="A264" t="s">
        <v>292</v>
      </c>
      <c r="B264">
        <v>30</v>
      </c>
      <c r="C264" t="s">
        <v>40</v>
      </c>
      <c r="D264" t="s">
        <v>13</v>
      </c>
      <c r="E264">
        <v>4025179</v>
      </c>
      <c r="F264">
        <v>53</v>
      </c>
      <c r="G264">
        <v>241520</v>
      </c>
      <c r="H264" t="s">
        <v>14</v>
      </c>
      <c r="I264" t="s">
        <v>24</v>
      </c>
      <c r="J264">
        <v>85</v>
      </c>
      <c r="K264" t="s">
        <v>25</v>
      </c>
    </row>
    <row r="265" spans="1:11" x14ac:dyDescent="0.55000000000000004">
      <c r="A265" t="s">
        <v>293</v>
      </c>
      <c r="B265">
        <v>22</v>
      </c>
      <c r="C265" t="s">
        <v>40</v>
      </c>
      <c r="D265" t="s">
        <v>13</v>
      </c>
      <c r="E265">
        <v>6951393</v>
      </c>
      <c r="F265">
        <v>33</v>
      </c>
      <c r="G265">
        <v>201063</v>
      </c>
      <c r="H265" t="s">
        <v>14</v>
      </c>
      <c r="I265" t="s">
        <v>24</v>
      </c>
      <c r="J265">
        <v>85</v>
      </c>
      <c r="K265" t="s">
        <v>25</v>
      </c>
    </row>
    <row r="266" spans="1:11" x14ac:dyDescent="0.55000000000000004">
      <c r="A266" t="s">
        <v>294</v>
      </c>
      <c r="B266">
        <v>26</v>
      </c>
      <c r="C266" t="s">
        <v>30</v>
      </c>
      <c r="D266" t="s">
        <v>36</v>
      </c>
      <c r="E266">
        <v>772908</v>
      </c>
      <c r="F266">
        <v>21</v>
      </c>
      <c r="G266">
        <v>493020</v>
      </c>
      <c r="H266" t="s">
        <v>14</v>
      </c>
      <c r="I266" t="s">
        <v>24</v>
      </c>
      <c r="J266">
        <v>90</v>
      </c>
      <c r="K266" t="s">
        <v>25</v>
      </c>
    </row>
    <row r="267" spans="1:11" x14ac:dyDescent="0.55000000000000004">
      <c r="A267" t="s">
        <v>295</v>
      </c>
      <c r="B267">
        <v>66</v>
      </c>
      <c r="C267" t="s">
        <v>30</v>
      </c>
      <c r="D267" t="s">
        <v>36</v>
      </c>
      <c r="E267">
        <v>2608538</v>
      </c>
      <c r="F267">
        <v>3</v>
      </c>
      <c r="G267">
        <v>155407</v>
      </c>
      <c r="H267" t="s">
        <v>14</v>
      </c>
      <c r="I267" t="s">
        <v>24</v>
      </c>
      <c r="J267">
        <v>80</v>
      </c>
      <c r="K267" t="s">
        <v>15</v>
      </c>
    </row>
    <row r="268" spans="1:11" x14ac:dyDescent="0.55000000000000004">
      <c r="A268" t="s">
        <v>296</v>
      </c>
      <c r="B268">
        <v>51</v>
      </c>
      <c r="C268" t="s">
        <v>27</v>
      </c>
      <c r="D268" t="s">
        <v>28</v>
      </c>
      <c r="E268">
        <v>8170361</v>
      </c>
      <c r="F268">
        <v>29</v>
      </c>
      <c r="G268">
        <v>327619</v>
      </c>
      <c r="H268" t="s">
        <v>24</v>
      </c>
      <c r="I268" t="s">
        <v>14</v>
      </c>
      <c r="J268">
        <v>90</v>
      </c>
      <c r="K268" t="s">
        <v>25</v>
      </c>
    </row>
    <row r="269" spans="1:11" x14ac:dyDescent="0.55000000000000004">
      <c r="A269" t="s">
        <v>297</v>
      </c>
      <c r="B269">
        <v>26</v>
      </c>
      <c r="C269" t="s">
        <v>20</v>
      </c>
      <c r="D269" t="s">
        <v>41</v>
      </c>
      <c r="E269">
        <v>3918086</v>
      </c>
      <c r="F269">
        <v>54</v>
      </c>
      <c r="G269">
        <v>83391</v>
      </c>
      <c r="H269" t="s">
        <v>14</v>
      </c>
      <c r="I269" t="s">
        <v>14</v>
      </c>
      <c r="J269">
        <v>80</v>
      </c>
      <c r="K269" t="s">
        <v>15</v>
      </c>
    </row>
    <row r="270" spans="1:11" x14ac:dyDescent="0.55000000000000004">
      <c r="A270" t="s">
        <v>298</v>
      </c>
      <c r="B270">
        <v>67</v>
      </c>
      <c r="C270" t="s">
        <v>40</v>
      </c>
      <c r="D270" t="s">
        <v>13</v>
      </c>
      <c r="E270">
        <v>5133542</v>
      </c>
      <c r="F270">
        <v>16</v>
      </c>
      <c r="G270">
        <v>162889</v>
      </c>
      <c r="H270" t="s">
        <v>14</v>
      </c>
      <c r="I270" t="s">
        <v>24</v>
      </c>
      <c r="J270">
        <v>75</v>
      </c>
      <c r="K270" t="s">
        <v>15</v>
      </c>
    </row>
    <row r="271" spans="1:11" x14ac:dyDescent="0.55000000000000004">
      <c r="A271" t="s">
        <v>299</v>
      </c>
      <c r="B271">
        <v>36</v>
      </c>
      <c r="C271" t="s">
        <v>40</v>
      </c>
      <c r="D271" t="s">
        <v>28</v>
      </c>
      <c r="E271">
        <v>7969093</v>
      </c>
      <c r="F271">
        <v>5</v>
      </c>
      <c r="G271">
        <v>63121</v>
      </c>
      <c r="H271" t="s">
        <v>14</v>
      </c>
      <c r="I271" t="s">
        <v>24</v>
      </c>
      <c r="J271">
        <v>60</v>
      </c>
      <c r="K271" t="s">
        <v>15</v>
      </c>
    </row>
    <row r="272" spans="1:11" x14ac:dyDescent="0.55000000000000004">
      <c r="A272" t="s">
        <v>300</v>
      </c>
      <c r="B272">
        <v>52</v>
      </c>
      <c r="C272" t="s">
        <v>20</v>
      </c>
      <c r="D272" t="s">
        <v>28</v>
      </c>
      <c r="E272">
        <v>8946569</v>
      </c>
      <c r="F272">
        <v>37</v>
      </c>
      <c r="G272">
        <v>131845</v>
      </c>
      <c r="H272" t="s">
        <v>14</v>
      </c>
      <c r="I272" t="s">
        <v>14</v>
      </c>
      <c r="J272">
        <v>60</v>
      </c>
      <c r="K272" t="s">
        <v>15</v>
      </c>
    </row>
    <row r="273" spans="1:11" x14ac:dyDescent="0.55000000000000004">
      <c r="A273" t="s">
        <v>301</v>
      </c>
      <c r="B273">
        <v>39</v>
      </c>
      <c r="C273" t="s">
        <v>40</v>
      </c>
      <c r="D273" t="s">
        <v>13</v>
      </c>
      <c r="E273">
        <v>6219270</v>
      </c>
      <c r="F273">
        <v>16</v>
      </c>
      <c r="G273">
        <v>304192</v>
      </c>
      <c r="H273" t="s">
        <v>14</v>
      </c>
      <c r="I273" t="s">
        <v>24</v>
      </c>
      <c r="J273">
        <v>75</v>
      </c>
      <c r="K273" t="s">
        <v>15</v>
      </c>
    </row>
    <row r="274" spans="1:11" x14ac:dyDescent="0.55000000000000004">
      <c r="A274" t="s">
        <v>302</v>
      </c>
      <c r="B274">
        <v>63</v>
      </c>
      <c r="C274" t="s">
        <v>12</v>
      </c>
      <c r="D274" t="s">
        <v>17</v>
      </c>
      <c r="E274">
        <v>6349927</v>
      </c>
      <c r="F274">
        <v>5</v>
      </c>
      <c r="G274">
        <v>280806</v>
      </c>
      <c r="H274" t="s">
        <v>14</v>
      </c>
      <c r="I274" t="s">
        <v>14</v>
      </c>
      <c r="J274">
        <v>35</v>
      </c>
      <c r="K274" t="s">
        <v>18</v>
      </c>
    </row>
    <row r="275" spans="1:11" x14ac:dyDescent="0.55000000000000004">
      <c r="A275" t="s">
        <v>303</v>
      </c>
      <c r="B275">
        <v>71</v>
      </c>
      <c r="C275" t="s">
        <v>20</v>
      </c>
      <c r="D275" t="s">
        <v>23</v>
      </c>
      <c r="E275">
        <v>8187557</v>
      </c>
      <c r="F275">
        <v>3</v>
      </c>
      <c r="G275">
        <v>338274</v>
      </c>
      <c r="H275" t="s">
        <v>14</v>
      </c>
      <c r="I275" t="s">
        <v>14</v>
      </c>
      <c r="J275">
        <v>65</v>
      </c>
      <c r="K275" t="s">
        <v>15</v>
      </c>
    </row>
    <row r="276" spans="1:11" x14ac:dyDescent="0.55000000000000004">
      <c r="A276" t="s">
        <v>304</v>
      </c>
      <c r="B276">
        <v>44</v>
      </c>
      <c r="C276" t="s">
        <v>32</v>
      </c>
      <c r="D276" t="s">
        <v>28</v>
      </c>
      <c r="E276">
        <v>572499</v>
      </c>
      <c r="F276">
        <v>23</v>
      </c>
      <c r="G276">
        <v>418411</v>
      </c>
      <c r="H276" t="s">
        <v>14</v>
      </c>
      <c r="I276" t="s">
        <v>24</v>
      </c>
      <c r="J276">
        <v>80</v>
      </c>
      <c r="K276" t="s">
        <v>15</v>
      </c>
    </row>
    <row r="277" spans="1:11" x14ac:dyDescent="0.55000000000000004">
      <c r="A277" t="s">
        <v>305</v>
      </c>
      <c r="B277">
        <v>36</v>
      </c>
      <c r="C277" t="s">
        <v>12</v>
      </c>
      <c r="D277" t="s">
        <v>17</v>
      </c>
      <c r="E277">
        <v>5878736</v>
      </c>
      <c r="F277">
        <v>9</v>
      </c>
      <c r="G277">
        <v>28244</v>
      </c>
      <c r="H277" t="s">
        <v>14</v>
      </c>
      <c r="I277" t="s">
        <v>14</v>
      </c>
      <c r="J277">
        <v>15</v>
      </c>
      <c r="K277" t="s">
        <v>18</v>
      </c>
    </row>
    <row r="278" spans="1:11" x14ac:dyDescent="0.55000000000000004">
      <c r="A278" t="s">
        <v>306</v>
      </c>
      <c r="B278">
        <v>42</v>
      </c>
      <c r="C278" t="s">
        <v>27</v>
      </c>
      <c r="D278" t="s">
        <v>28</v>
      </c>
      <c r="E278">
        <v>8095078</v>
      </c>
      <c r="F278">
        <v>45</v>
      </c>
      <c r="G278">
        <v>255888</v>
      </c>
      <c r="H278" t="s">
        <v>14</v>
      </c>
      <c r="I278" t="s">
        <v>14</v>
      </c>
      <c r="J278">
        <v>60</v>
      </c>
      <c r="K278" t="s">
        <v>15</v>
      </c>
    </row>
    <row r="279" spans="1:11" x14ac:dyDescent="0.55000000000000004">
      <c r="A279" t="s">
        <v>307</v>
      </c>
      <c r="B279">
        <v>72</v>
      </c>
      <c r="C279" t="s">
        <v>27</v>
      </c>
      <c r="D279" t="s">
        <v>13</v>
      </c>
      <c r="E279">
        <v>7978589</v>
      </c>
      <c r="F279">
        <v>3</v>
      </c>
      <c r="G279">
        <v>158848</v>
      </c>
      <c r="H279" t="s">
        <v>14</v>
      </c>
      <c r="I279" t="s">
        <v>14</v>
      </c>
      <c r="J279">
        <v>35</v>
      </c>
      <c r="K279" t="s">
        <v>18</v>
      </c>
    </row>
    <row r="280" spans="1:11" x14ac:dyDescent="0.55000000000000004">
      <c r="A280" t="s">
        <v>308</v>
      </c>
      <c r="B280">
        <v>71</v>
      </c>
      <c r="C280" t="s">
        <v>22</v>
      </c>
      <c r="D280" t="s">
        <v>13</v>
      </c>
      <c r="E280">
        <v>5594819</v>
      </c>
      <c r="F280">
        <v>60</v>
      </c>
      <c r="G280">
        <v>167569</v>
      </c>
      <c r="H280" t="s">
        <v>14</v>
      </c>
      <c r="I280" t="s">
        <v>14</v>
      </c>
      <c r="J280">
        <v>55</v>
      </c>
      <c r="K280" t="s">
        <v>15</v>
      </c>
    </row>
    <row r="281" spans="1:11" x14ac:dyDescent="0.55000000000000004">
      <c r="A281" t="s">
        <v>309</v>
      </c>
      <c r="B281">
        <v>73</v>
      </c>
      <c r="C281" t="s">
        <v>45</v>
      </c>
      <c r="D281" t="s">
        <v>41</v>
      </c>
      <c r="E281">
        <v>914394</v>
      </c>
      <c r="F281">
        <v>49</v>
      </c>
      <c r="G281">
        <v>344162</v>
      </c>
      <c r="H281" t="s">
        <v>14</v>
      </c>
      <c r="I281" t="s">
        <v>14</v>
      </c>
      <c r="J281">
        <v>90</v>
      </c>
      <c r="K281" t="s">
        <v>25</v>
      </c>
    </row>
    <row r="282" spans="1:11" x14ac:dyDescent="0.55000000000000004">
      <c r="A282" t="s">
        <v>310</v>
      </c>
      <c r="B282">
        <v>43</v>
      </c>
      <c r="C282" t="s">
        <v>20</v>
      </c>
      <c r="D282" t="s">
        <v>28</v>
      </c>
      <c r="E282">
        <v>5868772</v>
      </c>
      <c r="F282">
        <v>18</v>
      </c>
      <c r="G282">
        <v>70260</v>
      </c>
      <c r="H282" t="s">
        <v>14</v>
      </c>
      <c r="I282" t="s">
        <v>14</v>
      </c>
      <c r="J282">
        <v>40</v>
      </c>
      <c r="K282" t="s">
        <v>18</v>
      </c>
    </row>
    <row r="283" spans="1:11" x14ac:dyDescent="0.55000000000000004">
      <c r="A283" t="s">
        <v>311</v>
      </c>
      <c r="B283">
        <v>48</v>
      </c>
      <c r="C283" t="s">
        <v>40</v>
      </c>
      <c r="D283" t="s">
        <v>28</v>
      </c>
      <c r="E283">
        <v>7677556</v>
      </c>
      <c r="F283">
        <v>58</v>
      </c>
      <c r="G283">
        <v>207713</v>
      </c>
      <c r="H283" t="s">
        <v>14</v>
      </c>
      <c r="I283" t="s">
        <v>24</v>
      </c>
      <c r="J283">
        <v>90</v>
      </c>
      <c r="K283" t="s">
        <v>25</v>
      </c>
    </row>
    <row r="284" spans="1:11" x14ac:dyDescent="0.55000000000000004">
      <c r="A284" t="s">
        <v>312</v>
      </c>
      <c r="B284">
        <v>32</v>
      </c>
      <c r="C284" t="s">
        <v>45</v>
      </c>
      <c r="D284" t="s">
        <v>28</v>
      </c>
      <c r="E284">
        <v>8647057</v>
      </c>
      <c r="F284">
        <v>24</v>
      </c>
      <c r="G284">
        <v>489604</v>
      </c>
      <c r="H284" t="s">
        <v>14</v>
      </c>
      <c r="I284" t="s">
        <v>14</v>
      </c>
      <c r="J284">
        <v>50</v>
      </c>
      <c r="K284" t="s">
        <v>15</v>
      </c>
    </row>
    <row r="285" spans="1:11" x14ac:dyDescent="0.55000000000000004">
      <c r="A285" t="s">
        <v>313</v>
      </c>
      <c r="B285">
        <v>38</v>
      </c>
      <c r="C285" t="s">
        <v>12</v>
      </c>
      <c r="D285" t="s">
        <v>28</v>
      </c>
      <c r="E285">
        <v>7421922</v>
      </c>
      <c r="F285">
        <v>6</v>
      </c>
      <c r="G285">
        <v>230762</v>
      </c>
      <c r="H285" t="s">
        <v>14</v>
      </c>
      <c r="I285" t="s">
        <v>14</v>
      </c>
      <c r="J285">
        <v>40</v>
      </c>
      <c r="K285" t="s">
        <v>18</v>
      </c>
    </row>
    <row r="286" spans="1:11" x14ac:dyDescent="0.55000000000000004">
      <c r="A286" t="s">
        <v>314</v>
      </c>
      <c r="B286">
        <v>73</v>
      </c>
      <c r="C286" t="s">
        <v>27</v>
      </c>
      <c r="D286" t="s">
        <v>17</v>
      </c>
      <c r="E286">
        <v>5228582</v>
      </c>
      <c r="F286">
        <v>21</v>
      </c>
      <c r="G286">
        <v>58790</v>
      </c>
      <c r="H286" t="s">
        <v>14</v>
      </c>
      <c r="I286" t="s">
        <v>14</v>
      </c>
      <c r="J286">
        <v>35</v>
      </c>
      <c r="K286" t="s">
        <v>18</v>
      </c>
    </row>
    <row r="287" spans="1:11" x14ac:dyDescent="0.55000000000000004">
      <c r="A287" t="s">
        <v>315</v>
      </c>
      <c r="B287">
        <v>63</v>
      </c>
      <c r="C287" t="s">
        <v>32</v>
      </c>
      <c r="D287" t="s">
        <v>41</v>
      </c>
      <c r="E287">
        <v>7781225</v>
      </c>
      <c r="F287">
        <v>39</v>
      </c>
      <c r="G287">
        <v>381262</v>
      </c>
      <c r="H287" t="s">
        <v>14</v>
      </c>
      <c r="I287" t="s">
        <v>24</v>
      </c>
      <c r="J287">
        <v>120</v>
      </c>
      <c r="K287" t="s">
        <v>25</v>
      </c>
    </row>
    <row r="288" spans="1:11" x14ac:dyDescent="0.55000000000000004">
      <c r="A288" t="s">
        <v>316</v>
      </c>
      <c r="B288">
        <v>65</v>
      </c>
      <c r="C288" t="s">
        <v>45</v>
      </c>
      <c r="D288" t="s">
        <v>41</v>
      </c>
      <c r="E288">
        <v>7801590</v>
      </c>
      <c r="F288">
        <v>3</v>
      </c>
      <c r="G288">
        <v>386060</v>
      </c>
      <c r="H288" t="s">
        <v>14</v>
      </c>
      <c r="I288" t="s">
        <v>14</v>
      </c>
      <c r="J288">
        <v>70</v>
      </c>
      <c r="K288" t="s">
        <v>15</v>
      </c>
    </row>
    <row r="289" spans="1:11" x14ac:dyDescent="0.55000000000000004">
      <c r="A289" t="s">
        <v>317</v>
      </c>
      <c r="B289">
        <v>43</v>
      </c>
      <c r="C289" t="s">
        <v>40</v>
      </c>
      <c r="D289" t="s">
        <v>41</v>
      </c>
      <c r="E289">
        <v>1262308</v>
      </c>
      <c r="F289">
        <v>5</v>
      </c>
      <c r="G289">
        <v>356893</v>
      </c>
      <c r="H289" t="s">
        <v>14</v>
      </c>
      <c r="I289" t="s">
        <v>24</v>
      </c>
      <c r="J289">
        <v>100</v>
      </c>
      <c r="K289" t="s">
        <v>25</v>
      </c>
    </row>
    <row r="290" spans="1:11" x14ac:dyDescent="0.55000000000000004">
      <c r="A290" t="s">
        <v>318</v>
      </c>
      <c r="B290">
        <v>44</v>
      </c>
      <c r="C290" t="s">
        <v>27</v>
      </c>
      <c r="D290" t="s">
        <v>13</v>
      </c>
      <c r="E290">
        <v>2695441</v>
      </c>
      <c r="F290">
        <v>55</v>
      </c>
      <c r="G290">
        <v>323543</v>
      </c>
      <c r="H290" t="s">
        <v>14</v>
      </c>
      <c r="I290" t="s">
        <v>14</v>
      </c>
      <c r="J290">
        <v>55</v>
      </c>
      <c r="K290" t="s">
        <v>15</v>
      </c>
    </row>
    <row r="291" spans="1:11" x14ac:dyDescent="0.55000000000000004">
      <c r="A291" t="s">
        <v>319</v>
      </c>
      <c r="B291">
        <v>49</v>
      </c>
      <c r="C291" t="s">
        <v>20</v>
      </c>
      <c r="D291" t="s">
        <v>36</v>
      </c>
      <c r="E291">
        <v>1427988</v>
      </c>
      <c r="F291">
        <v>16</v>
      </c>
      <c r="G291">
        <v>413166</v>
      </c>
      <c r="H291" t="s">
        <v>14</v>
      </c>
      <c r="I291" t="s">
        <v>14</v>
      </c>
      <c r="J291">
        <v>60</v>
      </c>
      <c r="K291" t="s">
        <v>15</v>
      </c>
    </row>
    <row r="292" spans="1:11" x14ac:dyDescent="0.55000000000000004">
      <c r="A292" t="s">
        <v>320</v>
      </c>
      <c r="B292">
        <v>44</v>
      </c>
      <c r="C292" t="s">
        <v>40</v>
      </c>
      <c r="D292" t="s">
        <v>17</v>
      </c>
      <c r="E292">
        <v>843335</v>
      </c>
      <c r="F292">
        <v>39</v>
      </c>
      <c r="G292">
        <v>85445</v>
      </c>
      <c r="H292" t="s">
        <v>14</v>
      </c>
      <c r="I292" t="s">
        <v>24</v>
      </c>
      <c r="J292">
        <v>75</v>
      </c>
      <c r="K292" t="s">
        <v>15</v>
      </c>
    </row>
    <row r="293" spans="1:11" x14ac:dyDescent="0.55000000000000004">
      <c r="A293" t="s">
        <v>321</v>
      </c>
      <c r="B293">
        <v>44</v>
      </c>
      <c r="C293" t="s">
        <v>30</v>
      </c>
      <c r="D293" t="s">
        <v>23</v>
      </c>
      <c r="E293">
        <v>1589923</v>
      </c>
      <c r="F293">
        <v>37</v>
      </c>
      <c r="G293">
        <v>77191</v>
      </c>
      <c r="H293" t="s">
        <v>14</v>
      </c>
      <c r="I293" t="s">
        <v>24</v>
      </c>
      <c r="J293">
        <v>105</v>
      </c>
      <c r="K293" t="s">
        <v>25</v>
      </c>
    </row>
    <row r="294" spans="1:11" x14ac:dyDescent="0.55000000000000004">
      <c r="A294" t="s">
        <v>322</v>
      </c>
      <c r="B294">
        <v>46</v>
      </c>
      <c r="C294" t="s">
        <v>30</v>
      </c>
      <c r="D294" t="s">
        <v>28</v>
      </c>
      <c r="E294">
        <v>4975638</v>
      </c>
      <c r="F294">
        <v>16</v>
      </c>
      <c r="G294">
        <v>64479</v>
      </c>
      <c r="H294" t="s">
        <v>24</v>
      </c>
      <c r="I294" t="s">
        <v>24</v>
      </c>
      <c r="J294">
        <v>110</v>
      </c>
      <c r="K294" t="s">
        <v>25</v>
      </c>
    </row>
    <row r="295" spans="1:11" x14ac:dyDescent="0.55000000000000004">
      <c r="A295" t="s">
        <v>323</v>
      </c>
      <c r="B295">
        <v>32</v>
      </c>
      <c r="C295" t="s">
        <v>45</v>
      </c>
      <c r="D295" t="s">
        <v>17</v>
      </c>
      <c r="E295">
        <v>6792570</v>
      </c>
      <c r="F295">
        <v>59</v>
      </c>
      <c r="G295">
        <v>299478</v>
      </c>
      <c r="H295" t="s">
        <v>14</v>
      </c>
      <c r="I295" t="s">
        <v>14</v>
      </c>
      <c r="J295">
        <v>55</v>
      </c>
      <c r="K295" t="s">
        <v>15</v>
      </c>
    </row>
    <row r="296" spans="1:11" x14ac:dyDescent="0.55000000000000004">
      <c r="A296" t="s">
        <v>324</v>
      </c>
      <c r="B296">
        <v>70</v>
      </c>
      <c r="C296" t="s">
        <v>32</v>
      </c>
      <c r="D296" t="s">
        <v>28</v>
      </c>
      <c r="E296">
        <v>7787220</v>
      </c>
      <c r="F296">
        <v>14</v>
      </c>
      <c r="G296">
        <v>325799</v>
      </c>
      <c r="H296" t="s">
        <v>14</v>
      </c>
      <c r="I296" t="s">
        <v>24</v>
      </c>
      <c r="J296">
        <v>80</v>
      </c>
      <c r="K296" t="s">
        <v>15</v>
      </c>
    </row>
    <row r="297" spans="1:11" x14ac:dyDescent="0.55000000000000004">
      <c r="A297" t="s">
        <v>325</v>
      </c>
      <c r="B297">
        <v>52</v>
      </c>
      <c r="C297" t="s">
        <v>22</v>
      </c>
      <c r="D297" t="s">
        <v>13</v>
      </c>
      <c r="E297">
        <v>2577144</v>
      </c>
      <c r="F297">
        <v>55</v>
      </c>
      <c r="G297">
        <v>43824</v>
      </c>
      <c r="H297" t="s">
        <v>14</v>
      </c>
      <c r="I297" t="s">
        <v>14</v>
      </c>
      <c r="J297">
        <v>35</v>
      </c>
      <c r="K297" t="s">
        <v>18</v>
      </c>
    </row>
    <row r="298" spans="1:11" x14ac:dyDescent="0.55000000000000004">
      <c r="A298" t="s">
        <v>326</v>
      </c>
      <c r="B298">
        <v>66</v>
      </c>
      <c r="C298" t="s">
        <v>45</v>
      </c>
      <c r="D298" t="s">
        <v>13</v>
      </c>
      <c r="E298">
        <v>5661793</v>
      </c>
      <c r="F298">
        <v>43</v>
      </c>
      <c r="G298">
        <v>187150</v>
      </c>
      <c r="H298" t="s">
        <v>14</v>
      </c>
      <c r="I298" t="s">
        <v>14</v>
      </c>
      <c r="J298">
        <v>55</v>
      </c>
      <c r="K298" t="s">
        <v>15</v>
      </c>
    </row>
    <row r="299" spans="1:11" x14ac:dyDescent="0.55000000000000004">
      <c r="A299" t="s">
        <v>327</v>
      </c>
      <c r="B299">
        <v>56</v>
      </c>
      <c r="C299" t="s">
        <v>32</v>
      </c>
      <c r="D299" t="s">
        <v>41</v>
      </c>
      <c r="E299">
        <v>2942499</v>
      </c>
      <c r="F299">
        <v>46</v>
      </c>
      <c r="G299">
        <v>377015</v>
      </c>
      <c r="H299" t="s">
        <v>14</v>
      </c>
      <c r="I299" t="s">
        <v>24</v>
      </c>
      <c r="J299">
        <v>120</v>
      </c>
      <c r="K299" t="s">
        <v>25</v>
      </c>
    </row>
    <row r="300" spans="1:11" x14ac:dyDescent="0.55000000000000004">
      <c r="A300" t="s">
        <v>328</v>
      </c>
      <c r="B300">
        <v>61</v>
      </c>
      <c r="C300" t="s">
        <v>27</v>
      </c>
      <c r="D300" t="s">
        <v>41</v>
      </c>
      <c r="E300">
        <v>8835505</v>
      </c>
      <c r="F300">
        <v>15</v>
      </c>
      <c r="G300">
        <v>68628</v>
      </c>
      <c r="H300" t="s">
        <v>14</v>
      </c>
      <c r="I300" t="s">
        <v>14</v>
      </c>
      <c r="J300">
        <v>70</v>
      </c>
      <c r="K300" t="s">
        <v>15</v>
      </c>
    </row>
    <row r="301" spans="1:11" x14ac:dyDescent="0.55000000000000004">
      <c r="A301" t="s">
        <v>329</v>
      </c>
      <c r="B301">
        <v>71</v>
      </c>
      <c r="C301" t="s">
        <v>27</v>
      </c>
      <c r="D301" t="s">
        <v>36</v>
      </c>
      <c r="E301">
        <v>8588312</v>
      </c>
      <c r="F301">
        <v>2</v>
      </c>
      <c r="G301">
        <v>194213</v>
      </c>
      <c r="H301" t="s">
        <v>14</v>
      </c>
      <c r="I301" t="s">
        <v>14</v>
      </c>
      <c r="J301">
        <v>50</v>
      </c>
      <c r="K301" t="s">
        <v>15</v>
      </c>
    </row>
    <row r="302" spans="1:11" x14ac:dyDescent="0.55000000000000004">
      <c r="A302" t="s">
        <v>330</v>
      </c>
      <c r="B302">
        <v>44</v>
      </c>
      <c r="C302" t="s">
        <v>45</v>
      </c>
      <c r="D302" t="s">
        <v>17</v>
      </c>
      <c r="E302">
        <v>2477199</v>
      </c>
      <c r="F302">
        <v>40</v>
      </c>
      <c r="G302">
        <v>468599</v>
      </c>
      <c r="H302" t="s">
        <v>14</v>
      </c>
      <c r="I302" t="s">
        <v>14</v>
      </c>
      <c r="J302">
        <v>55</v>
      </c>
      <c r="K302" t="s">
        <v>15</v>
      </c>
    </row>
    <row r="303" spans="1:11" x14ac:dyDescent="0.55000000000000004">
      <c r="A303" t="s">
        <v>331</v>
      </c>
      <c r="B303">
        <v>40</v>
      </c>
      <c r="C303" t="s">
        <v>40</v>
      </c>
      <c r="D303" t="s">
        <v>28</v>
      </c>
      <c r="E303">
        <v>8330667</v>
      </c>
      <c r="F303">
        <v>34</v>
      </c>
      <c r="G303">
        <v>220374</v>
      </c>
      <c r="H303" t="s">
        <v>14</v>
      </c>
      <c r="I303" t="s">
        <v>24</v>
      </c>
      <c r="J303">
        <v>90</v>
      </c>
      <c r="K303" t="s">
        <v>25</v>
      </c>
    </row>
    <row r="304" spans="1:11" x14ac:dyDescent="0.55000000000000004">
      <c r="A304" t="s">
        <v>332</v>
      </c>
      <c r="B304">
        <v>73</v>
      </c>
      <c r="C304" t="s">
        <v>12</v>
      </c>
      <c r="D304" t="s">
        <v>36</v>
      </c>
      <c r="E304">
        <v>5618841</v>
      </c>
      <c r="F304">
        <v>42</v>
      </c>
      <c r="G304">
        <v>43883</v>
      </c>
      <c r="H304" t="s">
        <v>14</v>
      </c>
      <c r="I304" t="s">
        <v>14</v>
      </c>
      <c r="J304">
        <v>50</v>
      </c>
      <c r="K304" t="s">
        <v>15</v>
      </c>
    </row>
    <row r="305" spans="1:11" x14ac:dyDescent="0.55000000000000004">
      <c r="A305" t="s">
        <v>333</v>
      </c>
      <c r="B305">
        <v>64</v>
      </c>
      <c r="C305" t="s">
        <v>30</v>
      </c>
      <c r="D305" t="s">
        <v>36</v>
      </c>
      <c r="E305">
        <v>9549336</v>
      </c>
      <c r="F305">
        <v>41</v>
      </c>
      <c r="G305">
        <v>313169</v>
      </c>
      <c r="H305" t="s">
        <v>14</v>
      </c>
      <c r="I305" t="s">
        <v>24</v>
      </c>
      <c r="J305">
        <v>100</v>
      </c>
      <c r="K305" t="s">
        <v>25</v>
      </c>
    </row>
    <row r="306" spans="1:11" x14ac:dyDescent="0.55000000000000004">
      <c r="A306" t="s">
        <v>334</v>
      </c>
      <c r="B306">
        <v>29</v>
      </c>
      <c r="C306" t="s">
        <v>40</v>
      </c>
      <c r="D306" t="s">
        <v>17</v>
      </c>
      <c r="E306">
        <v>1229673</v>
      </c>
      <c r="F306">
        <v>54</v>
      </c>
      <c r="G306">
        <v>70096</v>
      </c>
      <c r="H306" t="s">
        <v>14</v>
      </c>
      <c r="I306" t="s">
        <v>24</v>
      </c>
      <c r="J306">
        <v>75</v>
      </c>
      <c r="K306" t="s">
        <v>15</v>
      </c>
    </row>
    <row r="307" spans="1:11" x14ac:dyDescent="0.55000000000000004">
      <c r="A307" t="s">
        <v>335</v>
      </c>
      <c r="B307">
        <v>40</v>
      </c>
      <c r="C307" t="s">
        <v>27</v>
      </c>
      <c r="D307" t="s">
        <v>36</v>
      </c>
      <c r="E307">
        <v>5713349</v>
      </c>
      <c r="F307">
        <v>60</v>
      </c>
      <c r="G307">
        <v>376894</v>
      </c>
      <c r="H307" t="s">
        <v>14</v>
      </c>
      <c r="I307" t="s">
        <v>14</v>
      </c>
      <c r="J307">
        <v>70</v>
      </c>
      <c r="K307" t="s">
        <v>15</v>
      </c>
    </row>
    <row r="308" spans="1:11" x14ac:dyDescent="0.55000000000000004">
      <c r="A308" t="s">
        <v>336</v>
      </c>
      <c r="B308">
        <v>54</v>
      </c>
      <c r="C308" t="s">
        <v>32</v>
      </c>
      <c r="D308" t="s">
        <v>13</v>
      </c>
      <c r="E308">
        <v>4504459</v>
      </c>
      <c r="F308">
        <v>13</v>
      </c>
      <c r="G308">
        <v>337952</v>
      </c>
      <c r="H308" t="s">
        <v>14</v>
      </c>
      <c r="I308" t="s">
        <v>24</v>
      </c>
      <c r="J308">
        <v>75</v>
      </c>
      <c r="K308" t="s">
        <v>15</v>
      </c>
    </row>
    <row r="309" spans="1:11" x14ac:dyDescent="0.55000000000000004">
      <c r="A309" t="s">
        <v>337</v>
      </c>
      <c r="B309">
        <v>38</v>
      </c>
      <c r="C309" t="s">
        <v>27</v>
      </c>
      <c r="D309" t="s">
        <v>28</v>
      </c>
      <c r="E309">
        <v>5380553</v>
      </c>
      <c r="F309">
        <v>40</v>
      </c>
      <c r="G309">
        <v>284696</v>
      </c>
      <c r="H309" t="s">
        <v>14</v>
      </c>
      <c r="I309" t="s">
        <v>14</v>
      </c>
      <c r="J309">
        <v>60</v>
      </c>
      <c r="K309" t="s">
        <v>15</v>
      </c>
    </row>
    <row r="310" spans="1:11" x14ac:dyDescent="0.55000000000000004">
      <c r="A310" t="s">
        <v>338</v>
      </c>
      <c r="B310">
        <v>62</v>
      </c>
      <c r="C310" t="s">
        <v>27</v>
      </c>
      <c r="D310" t="s">
        <v>17</v>
      </c>
      <c r="E310">
        <v>2886950</v>
      </c>
      <c r="F310">
        <v>11</v>
      </c>
      <c r="G310">
        <v>350365</v>
      </c>
      <c r="H310" t="s">
        <v>14</v>
      </c>
      <c r="I310" t="s">
        <v>14</v>
      </c>
      <c r="J310">
        <v>45</v>
      </c>
      <c r="K310" t="s">
        <v>15</v>
      </c>
    </row>
    <row r="311" spans="1:11" x14ac:dyDescent="0.55000000000000004">
      <c r="A311" t="s">
        <v>339</v>
      </c>
      <c r="B311">
        <v>59</v>
      </c>
      <c r="C311" t="s">
        <v>30</v>
      </c>
      <c r="D311" t="s">
        <v>17</v>
      </c>
      <c r="E311">
        <v>991125</v>
      </c>
      <c r="F311">
        <v>53</v>
      </c>
      <c r="G311">
        <v>457870</v>
      </c>
      <c r="H311" t="s">
        <v>24</v>
      </c>
      <c r="I311" t="s">
        <v>24</v>
      </c>
      <c r="J311">
        <v>125</v>
      </c>
      <c r="K311" t="s">
        <v>25</v>
      </c>
    </row>
    <row r="312" spans="1:11" x14ac:dyDescent="0.55000000000000004">
      <c r="A312" t="s">
        <v>340</v>
      </c>
      <c r="B312">
        <v>23</v>
      </c>
      <c r="C312" t="s">
        <v>32</v>
      </c>
      <c r="D312" t="s">
        <v>28</v>
      </c>
      <c r="E312">
        <v>3836777</v>
      </c>
      <c r="F312">
        <v>50</v>
      </c>
      <c r="G312">
        <v>304964</v>
      </c>
      <c r="H312" t="s">
        <v>14</v>
      </c>
      <c r="I312" t="s">
        <v>24</v>
      </c>
      <c r="J312">
        <v>90</v>
      </c>
      <c r="K312" t="s">
        <v>25</v>
      </c>
    </row>
    <row r="313" spans="1:11" x14ac:dyDescent="0.55000000000000004">
      <c r="A313" t="s">
        <v>341</v>
      </c>
      <c r="B313">
        <v>61</v>
      </c>
      <c r="C313" t="s">
        <v>20</v>
      </c>
      <c r="D313" t="s">
        <v>23</v>
      </c>
      <c r="E313">
        <v>9453271</v>
      </c>
      <c r="F313">
        <v>19</v>
      </c>
      <c r="G313">
        <v>341544</v>
      </c>
      <c r="H313" t="s">
        <v>14</v>
      </c>
      <c r="I313" t="s">
        <v>14</v>
      </c>
      <c r="J313">
        <v>75</v>
      </c>
      <c r="K313" t="s">
        <v>15</v>
      </c>
    </row>
    <row r="314" spans="1:11" x14ac:dyDescent="0.55000000000000004">
      <c r="A314" t="s">
        <v>342</v>
      </c>
      <c r="B314">
        <v>51</v>
      </c>
      <c r="C314" t="s">
        <v>22</v>
      </c>
      <c r="D314" t="s">
        <v>28</v>
      </c>
      <c r="E314">
        <v>7113102</v>
      </c>
      <c r="F314">
        <v>20</v>
      </c>
      <c r="G314">
        <v>242787</v>
      </c>
      <c r="H314" t="s">
        <v>14</v>
      </c>
      <c r="I314" t="s">
        <v>14</v>
      </c>
      <c r="J314">
        <v>50</v>
      </c>
      <c r="K314" t="s">
        <v>15</v>
      </c>
    </row>
    <row r="315" spans="1:11" x14ac:dyDescent="0.55000000000000004">
      <c r="A315" t="s">
        <v>343</v>
      </c>
      <c r="B315">
        <v>24</v>
      </c>
      <c r="C315" t="s">
        <v>27</v>
      </c>
      <c r="D315" t="s">
        <v>23</v>
      </c>
      <c r="E315">
        <v>7272975</v>
      </c>
      <c r="F315">
        <v>31</v>
      </c>
      <c r="G315">
        <v>248501</v>
      </c>
      <c r="H315" t="s">
        <v>14</v>
      </c>
      <c r="I315" t="s">
        <v>14</v>
      </c>
      <c r="J315">
        <v>85</v>
      </c>
      <c r="K315" t="s">
        <v>25</v>
      </c>
    </row>
    <row r="316" spans="1:11" x14ac:dyDescent="0.55000000000000004">
      <c r="A316" t="s">
        <v>344</v>
      </c>
      <c r="B316">
        <v>59</v>
      </c>
      <c r="C316" t="s">
        <v>27</v>
      </c>
      <c r="D316" t="s">
        <v>41</v>
      </c>
      <c r="E316">
        <v>5657240</v>
      </c>
      <c r="F316">
        <v>47</v>
      </c>
      <c r="G316">
        <v>456295</v>
      </c>
      <c r="H316" t="s">
        <v>14</v>
      </c>
      <c r="I316" t="s">
        <v>14</v>
      </c>
      <c r="J316">
        <v>90</v>
      </c>
      <c r="K316" t="s">
        <v>25</v>
      </c>
    </row>
    <row r="317" spans="1:11" x14ac:dyDescent="0.55000000000000004">
      <c r="A317" t="s">
        <v>345</v>
      </c>
      <c r="B317">
        <v>46</v>
      </c>
      <c r="C317" t="s">
        <v>27</v>
      </c>
      <c r="D317" t="s">
        <v>41</v>
      </c>
      <c r="E317">
        <v>8939932</v>
      </c>
      <c r="F317">
        <v>36</v>
      </c>
      <c r="G317">
        <v>60670</v>
      </c>
      <c r="H317" t="s">
        <v>14</v>
      </c>
      <c r="I317" t="s">
        <v>14</v>
      </c>
      <c r="J317">
        <v>80</v>
      </c>
      <c r="K317" t="s">
        <v>15</v>
      </c>
    </row>
    <row r="318" spans="1:11" x14ac:dyDescent="0.55000000000000004">
      <c r="A318" t="s">
        <v>346</v>
      </c>
      <c r="B318">
        <v>50</v>
      </c>
      <c r="C318" t="s">
        <v>12</v>
      </c>
      <c r="D318" t="s">
        <v>41</v>
      </c>
      <c r="E318">
        <v>7842969</v>
      </c>
      <c r="F318">
        <v>16</v>
      </c>
      <c r="G318">
        <v>78860</v>
      </c>
      <c r="H318" t="s">
        <v>14</v>
      </c>
      <c r="I318" t="s">
        <v>14</v>
      </c>
      <c r="J318">
        <v>70</v>
      </c>
      <c r="K318" t="s">
        <v>15</v>
      </c>
    </row>
    <row r="319" spans="1:11" x14ac:dyDescent="0.55000000000000004">
      <c r="A319" t="s">
        <v>347</v>
      </c>
      <c r="B319">
        <v>39</v>
      </c>
      <c r="C319" t="s">
        <v>40</v>
      </c>
      <c r="D319" t="s">
        <v>17</v>
      </c>
      <c r="E319">
        <v>7315136</v>
      </c>
      <c r="F319">
        <v>16</v>
      </c>
      <c r="G319">
        <v>458670</v>
      </c>
      <c r="H319" t="s">
        <v>14</v>
      </c>
      <c r="I319" t="s">
        <v>24</v>
      </c>
      <c r="J319">
        <v>75</v>
      </c>
      <c r="K319" t="s">
        <v>15</v>
      </c>
    </row>
    <row r="320" spans="1:11" x14ac:dyDescent="0.55000000000000004">
      <c r="A320" t="s">
        <v>348</v>
      </c>
      <c r="B320">
        <v>73</v>
      </c>
      <c r="C320" t="s">
        <v>30</v>
      </c>
      <c r="D320" t="s">
        <v>17</v>
      </c>
      <c r="E320">
        <v>5546485</v>
      </c>
      <c r="F320">
        <v>13</v>
      </c>
      <c r="G320">
        <v>405095</v>
      </c>
      <c r="H320" t="s">
        <v>14</v>
      </c>
      <c r="I320" t="s">
        <v>24</v>
      </c>
      <c r="J320">
        <v>75</v>
      </c>
      <c r="K320" t="s">
        <v>15</v>
      </c>
    </row>
    <row r="321" spans="1:11" x14ac:dyDescent="0.55000000000000004">
      <c r="A321" t="s">
        <v>349</v>
      </c>
      <c r="B321">
        <v>53</v>
      </c>
      <c r="C321" t="s">
        <v>45</v>
      </c>
      <c r="D321" t="s">
        <v>23</v>
      </c>
      <c r="E321">
        <v>5476450</v>
      </c>
      <c r="F321">
        <v>32</v>
      </c>
      <c r="G321">
        <v>17151</v>
      </c>
      <c r="H321" t="s">
        <v>14</v>
      </c>
      <c r="I321" t="s">
        <v>14</v>
      </c>
      <c r="J321">
        <v>65</v>
      </c>
      <c r="K321" t="s">
        <v>15</v>
      </c>
    </row>
    <row r="322" spans="1:11" x14ac:dyDescent="0.55000000000000004">
      <c r="A322" t="s">
        <v>350</v>
      </c>
      <c r="B322">
        <v>46</v>
      </c>
      <c r="C322" t="s">
        <v>45</v>
      </c>
      <c r="D322" t="s">
        <v>36</v>
      </c>
      <c r="E322">
        <v>3909524</v>
      </c>
      <c r="F322">
        <v>38</v>
      </c>
      <c r="G322">
        <v>190018</v>
      </c>
      <c r="H322" t="s">
        <v>24</v>
      </c>
      <c r="I322" t="s">
        <v>14</v>
      </c>
      <c r="J322">
        <v>110</v>
      </c>
      <c r="K322" t="s">
        <v>25</v>
      </c>
    </row>
    <row r="323" spans="1:11" x14ac:dyDescent="0.55000000000000004">
      <c r="A323" t="s">
        <v>351</v>
      </c>
      <c r="B323">
        <v>39</v>
      </c>
      <c r="C323" t="s">
        <v>45</v>
      </c>
      <c r="D323" t="s">
        <v>17</v>
      </c>
      <c r="E323">
        <v>8195137</v>
      </c>
      <c r="F323">
        <v>19</v>
      </c>
      <c r="G323">
        <v>286380</v>
      </c>
      <c r="H323" t="s">
        <v>24</v>
      </c>
      <c r="I323" t="s">
        <v>14</v>
      </c>
      <c r="J323">
        <v>85</v>
      </c>
      <c r="K323" t="s">
        <v>25</v>
      </c>
    </row>
    <row r="324" spans="1:11" x14ac:dyDescent="0.55000000000000004">
      <c r="A324" t="s">
        <v>352</v>
      </c>
      <c r="B324">
        <v>27</v>
      </c>
      <c r="C324" t="s">
        <v>40</v>
      </c>
      <c r="D324" t="s">
        <v>36</v>
      </c>
      <c r="E324">
        <v>4737118</v>
      </c>
      <c r="F324">
        <v>47</v>
      </c>
      <c r="G324">
        <v>196772</v>
      </c>
      <c r="H324" t="s">
        <v>14</v>
      </c>
      <c r="I324" t="s">
        <v>24</v>
      </c>
      <c r="J324">
        <v>100</v>
      </c>
      <c r="K324" t="s">
        <v>25</v>
      </c>
    </row>
    <row r="325" spans="1:11" x14ac:dyDescent="0.55000000000000004">
      <c r="A325" t="s">
        <v>353</v>
      </c>
      <c r="B325">
        <v>44</v>
      </c>
      <c r="C325" t="s">
        <v>20</v>
      </c>
      <c r="D325" t="s">
        <v>23</v>
      </c>
      <c r="E325">
        <v>1158283</v>
      </c>
      <c r="F325">
        <v>37</v>
      </c>
      <c r="G325">
        <v>299553</v>
      </c>
      <c r="H325" t="s">
        <v>14</v>
      </c>
      <c r="I325" t="s">
        <v>14</v>
      </c>
      <c r="J325">
        <v>85</v>
      </c>
      <c r="K325" t="s">
        <v>25</v>
      </c>
    </row>
    <row r="326" spans="1:11" x14ac:dyDescent="0.55000000000000004">
      <c r="A326" t="s">
        <v>354</v>
      </c>
      <c r="B326">
        <v>56</v>
      </c>
      <c r="C326" t="s">
        <v>32</v>
      </c>
      <c r="D326" t="s">
        <v>13</v>
      </c>
      <c r="E326">
        <v>6781857</v>
      </c>
      <c r="F326">
        <v>33</v>
      </c>
      <c r="G326">
        <v>241115</v>
      </c>
      <c r="H326" t="s">
        <v>14</v>
      </c>
      <c r="I326" t="s">
        <v>24</v>
      </c>
      <c r="J326">
        <v>85</v>
      </c>
      <c r="K326" t="s">
        <v>25</v>
      </c>
    </row>
    <row r="327" spans="1:11" x14ac:dyDescent="0.55000000000000004">
      <c r="A327" t="s">
        <v>355</v>
      </c>
      <c r="B327">
        <v>38</v>
      </c>
      <c r="C327" t="s">
        <v>12</v>
      </c>
      <c r="D327" t="s">
        <v>36</v>
      </c>
      <c r="E327">
        <v>1922046</v>
      </c>
      <c r="F327">
        <v>26</v>
      </c>
      <c r="G327">
        <v>200663</v>
      </c>
      <c r="H327" t="s">
        <v>14</v>
      </c>
      <c r="I327" t="s">
        <v>14</v>
      </c>
      <c r="J327">
        <v>60</v>
      </c>
      <c r="K327" t="s">
        <v>15</v>
      </c>
    </row>
    <row r="328" spans="1:11" x14ac:dyDescent="0.55000000000000004">
      <c r="A328" t="s">
        <v>356</v>
      </c>
      <c r="B328">
        <v>42</v>
      </c>
      <c r="C328" t="s">
        <v>30</v>
      </c>
      <c r="D328" t="s">
        <v>36</v>
      </c>
      <c r="E328">
        <v>3639637</v>
      </c>
      <c r="F328">
        <v>39</v>
      </c>
      <c r="G328">
        <v>271926</v>
      </c>
      <c r="H328" t="s">
        <v>14</v>
      </c>
      <c r="I328" t="s">
        <v>24</v>
      </c>
      <c r="J328">
        <v>100</v>
      </c>
      <c r="K328" t="s">
        <v>25</v>
      </c>
    </row>
    <row r="329" spans="1:11" x14ac:dyDescent="0.55000000000000004">
      <c r="A329" t="s">
        <v>357</v>
      </c>
      <c r="B329">
        <v>23</v>
      </c>
      <c r="C329" t="s">
        <v>20</v>
      </c>
      <c r="D329" t="s">
        <v>13</v>
      </c>
      <c r="E329">
        <v>2599088</v>
      </c>
      <c r="F329">
        <v>46</v>
      </c>
      <c r="G329">
        <v>179609</v>
      </c>
      <c r="H329" t="s">
        <v>14</v>
      </c>
      <c r="I329" t="s">
        <v>14</v>
      </c>
      <c r="J329">
        <v>55</v>
      </c>
      <c r="K329" t="s">
        <v>15</v>
      </c>
    </row>
    <row r="330" spans="1:11" x14ac:dyDescent="0.55000000000000004">
      <c r="A330" t="s">
        <v>358</v>
      </c>
      <c r="B330">
        <v>54</v>
      </c>
      <c r="C330" t="s">
        <v>45</v>
      </c>
      <c r="D330" t="s">
        <v>36</v>
      </c>
      <c r="E330">
        <v>8948751</v>
      </c>
      <c r="F330">
        <v>9</v>
      </c>
      <c r="G330">
        <v>176948</v>
      </c>
      <c r="H330" t="s">
        <v>14</v>
      </c>
      <c r="I330" t="s">
        <v>14</v>
      </c>
      <c r="J330">
        <v>50</v>
      </c>
      <c r="K330" t="s">
        <v>15</v>
      </c>
    </row>
    <row r="331" spans="1:11" x14ac:dyDescent="0.55000000000000004">
      <c r="A331" t="s">
        <v>359</v>
      </c>
      <c r="B331">
        <v>41</v>
      </c>
      <c r="C331" t="s">
        <v>27</v>
      </c>
      <c r="D331" t="s">
        <v>23</v>
      </c>
      <c r="E331">
        <v>5320319</v>
      </c>
      <c r="F331">
        <v>38</v>
      </c>
      <c r="G331">
        <v>181356</v>
      </c>
      <c r="H331" t="s">
        <v>14</v>
      </c>
      <c r="I331" t="s">
        <v>14</v>
      </c>
      <c r="J331">
        <v>85</v>
      </c>
      <c r="K331" t="s">
        <v>25</v>
      </c>
    </row>
    <row r="332" spans="1:11" x14ac:dyDescent="0.55000000000000004">
      <c r="A332" t="s">
        <v>360</v>
      </c>
      <c r="B332">
        <v>53</v>
      </c>
      <c r="C332" t="s">
        <v>45</v>
      </c>
      <c r="D332" t="s">
        <v>28</v>
      </c>
      <c r="E332">
        <v>9744301</v>
      </c>
      <c r="F332">
        <v>20</v>
      </c>
      <c r="G332">
        <v>253980</v>
      </c>
      <c r="H332" t="s">
        <v>14</v>
      </c>
      <c r="I332" t="s">
        <v>14</v>
      </c>
      <c r="J332">
        <v>50</v>
      </c>
      <c r="K332" t="s">
        <v>15</v>
      </c>
    </row>
    <row r="333" spans="1:11" x14ac:dyDescent="0.55000000000000004">
      <c r="A333" t="s">
        <v>361</v>
      </c>
      <c r="B333">
        <v>44</v>
      </c>
      <c r="C333" t="s">
        <v>30</v>
      </c>
      <c r="D333" t="s">
        <v>28</v>
      </c>
      <c r="E333">
        <v>2138859</v>
      </c>
      <c r="F333">
        <v>27</v>
      </c>
      <c r="G333">
        <v>311028</v>
      </c>
      <c r="H333" t="s">
        <v>14</v>
      </c>
      <c r="I333" t="s">
        <v>24</v>
      </c>
      <c r="J333">
        <v>80</v>
      </c>
      <c r="K333" t="s">
        <v>15</v>
      </c>
    </row>
    <row r="334" spans="1:11" x14ac:dyDescent="0.55000000000000004">
      <c r="A334" t="s">
        <v>362</v>
      </c>
      <c r="B334">
        <v>67</v>
      </c>
      <c r="C334" t="s">
        <v>20</v>
      </c>
      <c r="D334" t="s">
        <v>17</v>
      </c>
      <c r="E334">
        <v>8262302</v>
      </c>
      <c r="F334">
        <v>17</v>
      </c>
      <c r="G334">
        <v>348718</v>
      </c>
      <c r="H334" t="s">
        <v>14</v>
      </c>
      <c r="I334" t="s">
        <v>14</v>
      </c>
      <c r="J334">
        <v>45</v>
      </c>
      <c r="K334" t="s">
        <v>15</v>
      </c>
    </row>
    <row r="335" spans="1:11" x14ac:dyDescent="0.55000000000000004">
      <c r="A335" t="s">
        <v>363</v>
      </c>
      <c r="B335">
        <v>70</v>
      </c>
      <c r="C335" t="s">
        <v>22</v>
      </c>
      <c r="D335" t="s">
        <v>28</v>
      </c>
      <c r="E335">
        <v>1161596</v>
      </c>
      <c r="F335">
        <v>38</v>
      </c>
      <c r="G335">
        <v>256893</v>
      </c>
      <c r="H335" t="s">
        <v>14</v>
      </c>
      <c r="I335" t="s">
        <v>14</v>
      </c>
      <c r="J335">
        <v>60</v>
      </c>
      <c r="K335" t="s">
        <v>15</v>
      </c>
    </row>
    <row r="336" spans="1:11" x14ac:dyDescent="0.55000000000000004">
      <c r="A336" t="s">
        <v>364</v>
      </c>
      <c r="B336">
        <v>61</v>
      </c>
      <c r="C336" t="s">
        <v>40</v>
      </c>
      <c r="D336" t="s">
        <v>36</v>
      </c>
      <c r="E336">
        <v>4363384</v>
      </c>
      <c r="F336">
        <v>3</v>
      </c>
      <c r="G336">
        <v>305191</v>
      </c>
      <c r="H336" t="s">
        <v>14</v>
      </c>
      <c r="I336" t="s">
        <v>24</v>
      </c>
      <c r="J336">
        <v>80</v>
      </c>
      <c r="K336" t="s">
        <v>15</v>
      </c>
    </row>
    <row r="337" spans="1:11" x14ac:dyDescent="0.55000000000000004">
      <c r="A337" t="s">
        <v>365</v>
      </c>
      <c r="B337">
        <v>28</v>
      </c>
      <c r="C337" t="s">
        <v>22</v>
      </c>
      <c r="D337" t="s">
        <v>13</v>
      </c>
      <c r="E337">
        <v>7699399</v>
      </c>
      <c r="F337">
        <v>21</v>
      </c>
      <c r="G337">
        <v>224561</v>
      </c>
      <c r="H337" t="s">
        <v>14</v>
      </c>
      <c r="I337" t="s">
        <v>14</v>
      </c>
      <c r="J337">
        <v>45</v>
      </c>
      <c r="K337" t="s">
        <v>15</v>
      </c>
    </row>
    <row r="338" spans="1:11" x14ac:dyDescent="0.55000000000000004">
      <c r="A338" t="s">
        <v>366</v>
      </c>
      <c r="B338">
        <v>65</v>
      </c>
      <c r="C338" t="s">
        <v>22</v>
      </c>
      <c r="D338" t="s">
        <v>23</v>
      </c>
      <c r="E338">
        <v>8719134</v>
      </c>
      <c r="F338">
        <v>50</v>
      </c>
      <c r="G338">
        <v>325590</v>
      </c>
      <c r="H338" t="s">
        <v>14</v>
      </c>
      <c r="I338" t="s">
        <v>14</v>
      </c>
      <c r="J338">
        <v>85</v>
      </c>
      <c r="K338" t="s">
        <v>25</v>
      </c>
    </row>
    <row r="339" spans="1:11" x14ac:dyDescent="0.55000000000000004">
      <c r="A339" t="s">
        <v>367</v>
      </c>
      <c r="B339">
        <v>75</v>
      </c>
      <c r="C339" t="s">
        <v>20</v>
      </c>
      <c r="D339" t="s">
        <v>28</v>
      </c>
      <c r="E339">
        <v>2616639</v>
      </c>
      <c r="F339">
        <v>34</v>
      </c>
      <c r="G339">
        <v>113706</v>
      </c>
      <c r="H339" t="s">
        <v>14</v>
      </c>
      <c r="I339" t="s">
        <v>14</v>
      </c>
      <c r="J339">
        <v>60</v>
      </c>
      <c r="K339" t="s">
        <v>15</v>
      </c>
    </row>
    <row r="340" spans="1:11" x14ac:dyDescent="0.55000000000000004">
      <c r="A340" t="s">
        <v>368</v>
      </c>
      <c r="B340">
        <v>63</v>
      </c>
      <c r="C340" t="s">
        <v>45</v>
      </c>
      <c r="D340" t="s">
        <v>17</v>
      </c>
      <c r="E340">
        <v>6622070</v>
      </c>
      <c r="F340">
        <v>21</v>
      </c>
      <c r="G340">
        <v>95797</v>
      </c>
      <c r="H340" t="s">
        <v>14</v>
      </c>
      <c r="I340" t="s">
        <v>14</v>
      </c>
      <c r="J340">
        <v>35</v>
      </c>
      <c r="K340" t="s">
        <v>18</v>
      </c>
    </row>
    <row r="341" spans="1:11" x14ac:dyDescent="0.55000000000000004">
      <c r="A341" t="s">
        <v>369</v>
      </c>
      <c r="B341">
        <v>55</v>
      </c>
      <c r="C341" t="s">
        <v>30</v>
      </c>
      <c r="D341" t="s">
        <v>17</v>
      </c>
      <c r="E341">
        <v>6243949</v>
      </c>
      <c r="F341">
        <v>44</v>
      </c>
      <c r="G341">
        <v>409744</v>
      </c>
      <c r="H341" t="s">
        <v>14</v>
      </c>
      <c r="I341" t="s">
        <v>24</v>
      </c>
      <c r="J341">
        <v>85</v>
      </c>
      <c r="K341" t="s">
        <v>25</v>
      </c>
    </row>
    <row r="342" spans="1:11" x14ac:dyDescent="0.55000000000000004">
      <c r="A342" t="s">
        <v>370</v>
      </c>
      <c r="B342">
        <v>64</v>
      </c>
      <c r="C342" t="s">
        <v>32</v>
      </c>
      <c r="D342" t="s">
        <v>17</v>
      </c>
      <c r="E342">
        <v>8423194</v>
      </c>
      <c r="F342">
        <v>13</v>
      </c>
      <c r="G342">
        <v>134247</v>
      </c>
      <c r="H342" t="s">
        <v>14</v>
      </c>
      <c r="I342" t="s">
        <v>24</v>
      </c>
      <c r="J342">
        <v>75</v>
      </c>
      <c r="K342" t="s">
        <v>15</v>
      </c>
    </row>
    <row r="343" spans="1:11" x14ac:dyDescent="0.55000000000000004">
      <c r="A343" t="s">
        <v>371</v>
      </c>
      <c r="B343">
        <v>40</v>
      </c>
      <c r="C343" t="s">
        <v>22</v>
      </c>
      <c r="D343" t="s">
        <v>41</v>
      </c>
      <c r="E343">
        <v>5148684</v>
      </c>
      <c r="F343">
        <v>46</v>
      </c>
      <c r="G343">
        <v>113673</v>
      </c>
      <c r="H343" t="s">
        <v>14</v>
      </c>
      <c r="I343" t="s">
        <v>14</v>
      </c>
      <c r="J343">
        <v>90</v>
      </c>
      <c r="K343" t="s">
        <v>25</v>
      </c>
    </row>
    <row r="344" spans="1:11" x14ac:dyDescent="0.55000000000000004">
      <c r="A344" t="s">
        <v>372</v>
      </c>
      <c r="B344">
        <v>52</v>
      </c>
      <c r="C344" t="s">
        <v>30</v>
      </c>
      <c r="D344" t="s">
        <v>23</v>
      </c>
      <c r="E344">
        <v>6151946</v>
      </c>
      <c r="F344">
        <v>36</v>
      </c>
      <c r="G344">
        <v>494527</v>
      </c>
      <c r="H344" t="s">
        <v>14</v>
      </c>
      <c r="I344" t="s">
        <v>24</v>
      </c>
      <c r="J344">
        <v>115</v>
      </c>
      <c r="K344" t="s">
        <v>25</v>
      </c>
    </row>
    <row r="345" spans="1:11" x14ac:dyDescent="0.55000000000000004">
      <c r="A345" t="s">
        <v>373</v>
      </c>
      <c r="B345">
        <v>67</v>
      </c>
      <c r="C345" t="s">
        <v>32</v>
      </c>
      <c r="D345" t="s">
        <v>41</v>
      </c>
      <c r="E345">
        <v>2344708</v>
      </c>
      <c r="F345">
        <v>37</v>
      </c>
      <c r="G345">
        <v>359744</v>
      </c>
      <c r="H345" t="s">
        <v>14</v>
      </c>
      <c r="I345" t="s">
        <v>24</v>
      </c>
      <c r="J345">
        <v>120</v>
      </c>
      <c r="K345" t="s">
        <v>25</v>
      </c>
    </row>
    <row r="346" spans="1:11" x14ac:dyDescent="0.55000000000000004">
      <c r="A346" t="s">
        <v>374</v>
      </c>
      <c r="B346">
        <v>46</v>
      </c>
      <c r="C346" t="s">
        <v>30</v>
      </c>
      <c r="D346" t="s">
        <v>36</v>
      </c>
      <c r="E346">
        <v>5172986</v>
      </c>
      <c r="F346">
        <v>3</v>
      </c>
      <c r="G346">
        <v>155801</v>
      </c>
      <c r="H346" t="s">
        <v>14</v>
      </c>
      <c r="I346" t="s">
        <v>24</v>
      </c>
      <c r="J346">
        <v>80</v>
      </c>
      <c r="K346" t="s">
        <v>15</v>
      </c>
    </row>
    <row r="347" spans="1:11" x14ac:dyDescent="0.55000000000000004">
      <c r="A347" t="s">
        <v>375</v>
      </c>
      <c r="B347">
        <v>26</v>
      </c>
      <c r="C347" t="s">
        <v>30</v>
      </c>
      <c r="D347" t="s">
        <v>23</v>
      </c>
      <c r="E347">
        <v>4602415</v>
      </c>
      <c r="F347">
        <v>48</v>
      </c>
      <c r="G347">
        <v>256175</v>
      </c>
      <c r="H347" t="s">
        <v>14</v>
      </c>
      <c r="I347" t="s">
        <v>24</v>
      </c>
      <c r="J347">
        <v>115</v>
      </c>
      <c r="K347" t="s">
        <v>25</v>
      </c>
    </row>
    <row r="348" spans="1:11" x14ac:dyDescent="0.55000000000000004">
      <c r="A348" t="s">
        <v>376</v>
      </c>
      <c r="B348">
        <v>73</v>
      </c>
      <c r="C348" t="s">
        <v>32</v>
      </c>
      <c r="D348" t="s">
        <v>17</v>
      </c>
      <c r="E348">
        <v>4857052</v>
      </c>
      <c r="F348">
        <v>9</v>
      </c>
      <c r="G348">
        <v>62266</v>
      </c>
      <c r="H348" t="s">
        <v>14</v>
      </c>
      <c r="I348" t="s">
        <v>24</v>
      </c>
      <c r="J348">
        <v>55</v>
      </c>
      <c r="K348" t="s">
        <v>15</v>
      </c>
    </row>
    <row r="349" spans="1:11" x14ac:dyDescent="0.55000000000000004">
      <c r="A349" t="s">
        <v>377</v>
      </c>
      <c r="B349">
        <v>58</v>
      </c>
      <c r="C349" t="s">
        <v>22</v>
      </c>
      <c r="D349" t="s">
        <v>36</v>
      </c>
      <c r="E349">
        <v>1151702</v>
      </c>
      <c r="F349">
        <v>43</v>
      </c>
      <c r="G349">
        <v>479577</v>
      </c>
      <c r="H349" t="s">
        <v>14</v>
      </c>
      <c r="I349" t="s">
        <v>14</v>
      </c>
      <c r="J349">
        <v>70</v>
      </c>
      <c r="K349" t="s">
        <v>15</v>
      </c>
    </row>
    <row r="350" spans="1:11" x14ac:dyDescent="0.55000000000000004">
      <c r="A350" t="s">
        <v>378</v>
      </c>
      <c r="B350">
        <v>61</v>
      </c>
      <c r="C350" t="s">
        <v>22</v>
      </c>
      <c r="D350" t="s">
        <v>13</v>
      </c>
      <c r="E350">
        <v>1981042</v>
      </c>
      <c r="F350">
        <v>27</v>
      </c>
      <c r="G350">
        <v>178168</v>
      </c>
      <c r="H350" t="s">
        <v>14</v>
      </c>
      <c r="I350" t="s">
        <v>14</v>
      </c>
      <c r="J350">
        <v>45</v>
      </c>
      <c r="K350" t="s">
        <v>15</v>
      </c>
    </row>
    <row r="351" spans="1:11" x14ac:dyDescent="0.55000000000000004">
      <c r="A351" t="s">
        <v>379</v>
      </c>
      <c r="B351">
        <v>27</v>
      </c>
      <c r="C351" t="s">
        <v>27</v>
      </c>
      <c r="D351" t="s">
        <v>13</v>
      </c>
      <c r="E351">
        <v>9533383</v>
      </c>
      <c r="F351">
        <v>60</v>
      </c>
      <c r="G351">
        <v>87806</v>
      </c>
      <c r="H351" t="s">
        <v>14</v>
      </c>
      <c r="I351" t="s">
        <v>14</v>
      </c>
      <c r="J351">
        <v>45</v>
      </c>
      <c r="K351" t="s">
        <v>15</v>
      </c>
    </row>
    <row r="352" spans="1:11" x14ac:dyDescent="0.55000000000000004">
      <c r="A352" t="s">
        <v>380</v>
      </c>
      <c r="B352">
        <v>51</v>
      </c>
      <c r="C352" t="s">
        <v>45</v>
      </c>
      <c r="D352" t="s">
        <v>28</v>
      </c>
      <c r="E352">
        <v>3646315</v>
      </c>
      <c r="F352">
        <v>49</v>
      </c>
      <c r="G352">
        <v>155599</v>
      </c>
      <c r="H352" t="s">
        <v>14</v>
      </c>
      <c r="I352" t="s">
        <v>14</v>
      </c>
      <c r="J352">
        <v>60</v>
      </c>
      <c r="K352" t="s">
        <v>15</v>
      </c>
    </row>
    <row r="353" spans="1:11" x14ac:dyDescent="0.55000000000000004">
      <c r="A353" t="s">
        <v>381</v>
      </c>
      <c r="B353">
        <v>62</v>
      </c>
      <c r="C353" t="s">
        <v>20</v>
      </c>
      <c r="D353" t="s">
        <v>13</v>
      </c>
      <c r="E353">
        <v>9932359</v>
      </c>
      <c r="F353">
        <v>15</v>
      </c>
      <c r="G353">
        <v>285573</v>
      </c>
      <c r="H353" t="s">
        <v>14</v>
      </c>
      <c r="I353" t="s">
        <v>14</v>
      </c>
      <c r="J353">
        <v>45</v>
      </c>
      <c r="K353" t="s">
        <v>15</v>
      </c>
    </row>
    <row r="354" spans="1:11" x14ac:dyDescent="0.55000000000000004">
      <c r="A354" t="s">
        <v>382</v>
      </c>
      <c r="B354">
        <v>75</v>
      </c>
      <c r="C354" t="s">
        <v>20</v>
      </c>
      <c r="D354" t="s">
        <v>36</v>
      </c>
      <c r="E354">
        <v>7310946</v>
      </c>
      <c r="F354">
        <v>57</v>
      </c>
      <c r="G354">
        <v>444146</v>
      </c>
      <c r="H354" t="s">
        <v>14</v>
      </c>
      <c r="I354" t="s">
        <v>14</v>
      </c>
      <c r="J354">
        <v>70</v>
      </c>
      <c r="K354" t="s">
        <v>15</v>
      </c>
    </row>
    <row r="355" spans="1:11" x14ac:dyDescent="0.55000000000000004">
      <c r="A355" t="s">
        <v>383</v>
      </c>
      <c r="B355">
        <v>23</v>
      </c>
      <c r="C355" t="s">
        <v>40</v>
      </c>
      <c r="D355" t="s">
        <v>23</v>
      </c>
      <c r="E355">
        <v>3425790</v>
      </c>
      <c r="F355">
        <v>60</v>
      </c>
      <c r="G355">
        <v>397693</v>
      </c>
      <c r="H355" t="s">
        <v>14</v>
      </c>
      <c r="I355" t="s">
        <v>24</v>
      </c>
      <c r="J355">
        <v>115</v>
      </c>
      <c r="K355" t="s">
        <v>25</v>
      </c>
    </row>
    <row r="356" spans="1:11" x14ac:dyDescent="0.55000000000000004">
      <c r="A356" t="s">
        <v>384</v>
      </c>
      <c r="B356">
        <v>39</v>
      </c>
      <c r="C356" t="s">
        <v>20</v>
      </c>
      <c r="D356" t="s">
        <v>13</v>
      </c>
      <c r="E356">
        <v>5306190</v>
      </c>
      <c r="F356">
        <v>37</v>
      </c>
      <c r="G356">
        <v>321031</v>
      </c>
      <c r="H356" t="s">
        <v>14</v>
      </c>
      <c r="I356" t="s">
        <v>14</v>
      </c>
      <c r="J356">
        <v>55</v>
      </c>
      <c r="K356" t="s">
        <v>15</v>
      </c>
    </row>
    <row r="357" spans="1:11" x14ac:dyDescent="0.55000000000000004">
      <c r="A357" t="s">
        <v>385</v>
      </c>
      <c r="B357">
        <v>42</v>
      </c>
      <c r="C357" t="s">
        <v>32</v>
      </c>
      <c r="D357" t="s">
        <v>23</v>
      </c>
      <c r="E357">
        <v>9415069</v>
      </c>
      <c r="F357">
        <v>34</v>
      </c>
      <c r="G357">
        <v>263952</v>
      </c>
      <c r="H357" t="s">
        <v>14</v>
      </c>
      <c r="I357" t="s">
        <v>24</v>
      </c>
      <c r="J357">
        <v>115</v>
      </c>
      <c r="K357" t="s">
        <v>25</v>
      </c>
    </row>
    <row r="358" spans="1:11" x14ac:dyDescent="0.55000000000000004">
      <c r="A358" t="s">
        <v>386</v>
      </c>
      <c r="B358">
        <v>29</v>
      </c>
      <c r="C358" t="s">
        <v>45</v>
      </c>
      <c r="D358" t="s">
        <v>41</v>
      </c>
      <c r="E358">
        <v>3534838</v>
      </c>
      <c r="F358">
        <v>52</v>
      </c>
      <c r="G358">
        <v>64059</v>
      </c>
      <c r="H358" t="s">
        <v>14</v>
      </c>
      <c r="I358" t="s">
        <v>14</v>
      </c>
      <c r="J358">
        <v>80</v>
      </c>
      <c r="K358" t="s">
        <v>15</v>
      </c>
    </row>
    <row r="359" spans="1:11" x14ac:dyDescent="0.55000000000000004">
      <c r="A359" t="s">
        <v>387</v>
      </c>
      <c r="B359">
        <v>67</v>
      </c>
      <c r="C359" t="s">
        <v>45</v>
      </c>
      <c r="D359" t="s">
        <v>28</v>
      </c>
      <c r="E359">
        <v>4616188</v>
      </c>
      <c r="F359">
        <v>46</v>
      </c>
      <c r="G359">
        <v>102621</v>
      </c>
      <c r="H359" t="s">
        <v>24</v>
      </c>
      <c r="I359" t="s">
        <v>14</v>
      </c>
      <c r="J359">
        <v>100</v>
      </c>
      <c r="K359" t="s">
        <v>25</v>
      </c>
    </row>
    <row r="360" spans="1:11" x14ac:dyDescent="0.55000000000000004">
      <c r="A360" t="s">
        <v>388</v>
      </c>
      <c r="B360">
        <v>42</v>
      </c>
      <c r="C360" t="s">
        <v>32</v>
      </c>
      <c r="D360" t="s">
        <v>17</v>
      </c>
      <c r="E360">
        <v>3540708</v>
      </c>
      <c r="F360">
        <v>12</v>
      </c>
      <c r="G360">
        <v>325316</v>
      </c>
      <c r="H360" t="s">
        <v>14</v>
      </c>
      <c r="I360" t="s">
        <v>24</v>
      </c>
      <c r="J360">
        <v>75</v>
      </c>
      <c r="K360" t="s">
        <v>15</v>
      </c>
    </row>
    <row r="361" spans="1:11" x14ac:dyDescent="0.55000000000000004">
      <c r="A361" t="s">
        <v>389</v>
      </c>
      <c r="B361">
        <v>46</v>
      </c>
      <c r="C361" t="s">
        <v>40</v>
      </c>
      <c r="D361" t="s">
        <v>17</v>
      </c>
      <c r="E361">
        <v>5801696</v>
      </c>
      <c r="F361">
        <v>6</v>
      </c>
      <c r="G361">
        <v>215152</v>
      </c>
      <c r="H361" t="s">
        <v>14</v>
      </c>
      <c r="I361" t="s">
        <v>24</v>
      </c>
      <c r="J361">
        <v>65</v>
      </c>
      <c r="K361" t="s">
        <v>15</v>
      </c>
    </row>
    <row r="362" spans="1:11" x14ac:dyDescent="0.55000000000000004">
      <c r="A362" t="s">
        <v>390</v>
      </c>
      <c r="B362">
        <v>32</v>
      </c>
      <c r="C362" t="s">
        <v>27</v>
      </c>
      <c r="D362" t="s">
        <v>23</v>
      </c>
      <c r="E362">
        <v>5729135</v>
      </c>
      <c r="F362">
        <v>60</v>
      </c>
      <c r="G362">
        <v>135048</v>
      </c>
      <c r="H362" t="s">
        <v>24</v>
      </c>
      <c r="I362" t="s">
        <v>14</v>
      </c>
      <c r="J362">
        <v>125</v>
      </c>
      <c r="K362" t="s">
        <v>25</v>
      </c>
    </row>
    <row r="363" spans="1:11" x14ac:dyDescent="0.55000000000000004">
      <c r="A363" t="s">
        <v>391</v>
      </c>
      <c r="B363">
        <v>45</v>
      </c>
      <c r="C363" t="s">
        <v>22</v>
      </c>
      <c r="D363" t="s">
        <v>23</v>
      </c>
      <c r="E363">
        <v>4779421</v>
      </c>
      <c r="F363">
        <v>22</v>
      </c>
      <c r="G363">
        <v>163306</v>
      </c>
      <c r="H363" t="s">
        <v>14</v>
      </c>
      <c r="I363" t="s">
        <v>14</v>
      </c>
      <c r="J363">
        <v>75</v>
      </c>
      <c r="K363" t="s">
        <v>15</v>
      </c>
    </row>
    <row r="364" spans="1:11" x14ac:dyDescent="0.55000000000000004">
      <c r="A364" t="s">
        <v>392</v>
      </c>
      <c r="B364">
        <v>57</v>
      </c>
      <c r="C364" t="s">
        <v>20</v>
      </c>
      <c r="D364" t="s">
        <v>41</v>
      </c>
      <c r="E364">
        <v>6332283</v>
      </c>
      <c r="F364">
        <v>45</v>
      </c>
      <c r="G364">
        <v>128890</v>
      </c>
      <c r="H364" t="s">
        <v>14</v>
      </c>
      <c r="I364" t="s">
        <v>14</v>
      </c>
      <c r="J364">
        <v>90</v>
      </c>
      <c r="K364" t="s">
        <v>25</v>
      </c>
    </row>
    <row r="365" spans="1:11" x14ac:dyDescent="0.55000000000000004">
      <c r="A365" t="s">
        <v>393</v>
      </c>
      <c r="B365">
        <v>28</v>
      </c>
      <c r="C365" t="s">
        <v>45</v>
      </c>
      <c r="D365" t="s">
        <v>41</v>
      </c>
      <c r="E365">
        <v>2979603</v>
      </c>
      <c r="F365">
        <v>26</v>
      </c>
      <c r="G365">
        <v>364700</v>
      </c>
      <c r="H365" t="s">
        <v>14</v>
      </c>
      <c r="I365" t="s">
        <v>14</v>
      </c>
      <c r="J365">
        <v>80</v>
      </c>
      <c r="K365" t="s">
        <v>15</v>
      </c>
    </row>
    <row r="366" spans="1:11" x14ac:dyDescent="0.55000000000000004">
      <c r="A366" t="s">
        <v>394</v>
      </c>
      <c r="B366">
        <v>66</v>
      </c>
      <c r="C366" t="s">
        <v>32</v>
      </c>
      <c r="D366" t="s">
        <v>28</v>
      </c>
      <c r="E366">
        <v>2269909</v>
      </c>
      <c r="F366">
        <v>41</v>
      </c>
      <c r="G366">
        <v>485316</v>
      </c>
      <c r="H366" t="s">
        <v>14</v>
      </c>
      <c r="I366" t="s">
        <v>24</v>
      </c>
      <c r="J366">
        <v>90</v>
      </c>
      <c r="K366" t="s">
        <v>25</v>
      </c>
    </row>
    <row r="367" spans="1:11" x14ac:dyDescent="0.55000000000000004">
      <c r="A367" t="s">
        <v>395</v>
      </c>
      <c r="B367">
        <v>44</v>
      </c>
      <c r="C367" t="s">
        <v>22</v>
      </c>
      <c r="D367" t="s">
        <v>36</v>
      </c>
      <c r="E367">
        <v>2540912</v>
      </c>
      <c r="F367">
        <v>31</v>
      </c>
      <c r="G367">
        <v>85313</v>
      </c>
      <c r="H367" t="s">
        <v>14</v>
      </c>
      <c r="I367" t="s">
        <v>14</v>
      </c>
      <c r="J367">
        <v>60</v>
      </c>
      <c r="K367" t="s">
        <v>15</v>
      </c>
    </row>
    <row r="368" spans="1:11" x14ac:dyDescent="0.55000000000000004">
      <c r="A368" t="s">
        <v>396</v>
      </c>
      <c r="B368">
        <v>59</v>
      </c>
      <c r="C368" t="s">
        <v>30</v>
      </c>
      <c r="D368" t="s">
        <v>23</v>
      </c>
      <c r="E368">
        <v>9514625</v>
      </c>
      <c r="F368">
        <v>59</v>
      </c>
      <c r="G368">
        <v>251849</v>
      </c>
      <c r="H368" t="s">
        <v>14</v>
      </c>
      <c r="I368" t="s">
        <v>24</v>
      </c>
      <c r="J368">
        <v>115</v>
      </c>
      <c r="K368" t="s">
        <v>25</v>
      </c>
    </row>
    <row r="369" spans="1:11" x14ac:dyDescent="0.55000000000000004">
      <c r="A369" t="s">
        <v>397</v>
      </c>
      <c r="B369">
        <v>72</v>
      </c>
      <c r="C369" t="s">
        <v>22</v>
      </c>
      <c r="D369" t="s">
        <v>36</v>
      </c>
      <c r="E369">
        <v>1673555</v>
      </c>
      <c r="F369">
        <v>34</v>
      </c>
      <c r="G369">
        <v>239224</v>
      </c>
      <c r="H369" t="s">
        <v>14</v>
      </c>
      <c r="I369" t="s">
        <v>14</v>
      </c>
      <c r="J369">
        <v>70</v>
      </c>
      <c r="K369" t="s">
        <v>15</v>
      </c>
    </row>
    <row r="370" spans="1:11" x14ac:dyDescent="0.55000000000000004">
      <c r="A370" t="s">
        <v>398</v>
      </c>
      <c r="B370">
        <v>44</v>
      </c>
      <c r="C370" t="s">
        <v>12</v>
      </c>
      <c r="D370" t="s">
        <v>17</v>
      </c>
      <c r="E370">
        <v>2182551</v>
      </c>
      <c r="F370">
        <v>4</v>
      </c>
      <c r="G370">
        <v>439516</v>
      </c>
      <c r="H370" t="s">
        <v>14</v>
      </c>
      <c r="I370" t="s">
        <v>14</v>
      </c>
      <c r="J370">
        <v>35</v>
      </c>
      <c r="K370" t="s">
        <v>18</v>
      </c>
    </row>
    <row r="371" spans="1:11" x14ac:dyDescent="0.55000000000000004">
      <c r="A371" t="s">
        <v>399</v>
      </c>
      <c r="B371">
        <v>53</v>
      </c>
      <c r="C371" t="s">
        <v>22</v>
      </c>
      <c r="D371" t="s">
        <v>17</v>
      </c>
      <c r="E371">
        <v>9303663</v>
      </c>
      <c r="F371">
        <v>10</v>
      </c>
      <c r="G371">
        <v>91264</v>
      </c>
      <c r="H371" t="s">
        <v>14</v>
      </c>
      <c r="I371" t="s">
        <v>14</v>
      </c>
      <c r="J371">
        <v>35</v>
      </c>
      <c r="K371" t="s">
        <v>18</v>
      </c>
    </row>
    <row r="372" spans="1:11" x14ac:dyDescent="0.55000000000000004">
      <c r="A372" t="s">
        <v>400</v>
      </c>
      <c r="B372">
        <v>54</v>
      </c>
      <c r="C372" t="s">
        <v>45</v>
      </c>
      <c r="D372" t="s">
        <v>13</v>
      </c>
      <c r="E372">
        <v>3746065</v>
      </c>
      <c r="F372">
        <v>46</v>
      </c>
      <c r="G372">
        <v>310737</v>
      </c>
      <c r="H372" t="s">
        <v>14</v>
      </c>
      <c r="I372" t="s">
        <v>14</v>
      </c>
      <c r="J372">
        <v>55</v>
      </c>
      <c r="K372" t="s">
        <v>15</v>
      </c>
    </row>
    <row r="373" spans="1:11" x14ac:dyDescent="0.55000000000000004">
      <c r="A373" t="s">
        <v>401</v>
      </c>
      <c r="B373">
        <v>53</v>
      </c>
      <c r="C373" t="s">
        <v>45</v>
      </c>
      <c r="D373" t="s">
        <v>13</v>
      </c>
      <c r="E373">
        <v>7907331</v>
      </c>
      <c r="F373">
        <v>9</v>
      </c>
      <c r="G373">
        <v>274089</v>
      </c>
      <c r="H373" t="s">
        <v>14</v>
      </c>
      <c r="I373" t="s">
        <v>14</v>
      </c>
      <c r="J373">
        <v>35</v>
      </c>
      <c r="K373" t="s">
        <v>18</v>
      </c>
    </row>
    <row r="374" spans="1:11" x14ac:dyDescent="0.55000000000000004">
      <c r="A374" t="s">
        <v>402</v>
      </c>
      <c r="B374">
        <v>57</v>
      </c>
      <c r="C374" t="s">
        <v>20</v>
      </c>
      <c r="D374" t="s">
        <v>17</v>
      </c>
      <c r="E374">
        <v>8057420</v>
      </c>
      <c r="F374">
        <v>44</v>
      </c>
      <c r="G374">
        <v>428056</v>
      </c>
      <c r="H374" t="s">
        <v>14</v>
      </c>
      <c r="I374" t="s">
        <v>14</v>
      </c>
      <c r="J374">
        <v>55</v>
      </c>
      <c r="K374" t="s">
        <v>15</v>
      </c>
    </row>
    <row r="375" spans="1:11" x14ac:dyDescent="0.55000000000000004">
      <c r="A375" t="s">
        <v>403</v>
      </c>
      <c r="B375">
        <v>22</v>
      </c>
      <c r="C375" t="s">
        <v>40</v>
      </c>
      <c r="D375" t="s">
        <v>41</v>
      </c>
      <c r="E375">
        <v>350591</v>
      </c>
      <c r="F375">
        <v>48</v>
      </c>
      <c r="G375">
        <v>119243</v>
      </c>
      <c r="H375" t="s">
        <v>14</v>
      </c>
      <c r="I375" t="s">
        <v>24</v>
      </c>
      <c r="J375">
        <v>120</v>
      </c>
      <c r="K375" t="s">
        <v>25</v>
      </c>
    </row>
    <row r="376" spans="1:11" x14ac:dyDescent="0.55000000000000004">
      <c r="A376" t="s">
        <v>404</v>
      </c>
      <c r="B376">
        <v>23</v>
      </c>
      <c r="C376" t="s">
        <v>40</v>
      </c>
      <c r="D376" t="s">
        <v>41</v>
      </c>
      <c r="E376">
        <v>1369713</v>
      </c>
      <c r="F376">
        <v>35</v>
      </c>
      <c r="G376">
        <v>36591</v>
      </c>
      <c r="H376" t="s">
        <v>14</v>
      </c>
      <c r="I376" t="s">
        <v>24</v>
      </c>
      <c r="J376">
        <v>100</v>
      </c>
      <c r="K376" t="s">
        <v>25</v>
      </c>
    </row>
    <row r="377" spans="1:11" x14ac:dyDescent="0.55000000000000004">
      <c r="A377" t="s">
        <v>405</v>
      </c>
      <c r="B377">
        <v>25</v>
      </c>
      <c r="C377" t="s">
        <v>45</v>
      </c>
      <c r="D377" t="s">
        <v>13</v>
      </c>
      <c r="E377">
        <v>5116582</v>
      </c>
      <c r="F377">
        <v>27</v>
      </c>
      <c r="G377">
        <v>99362</v>
      </c>
      <c r="H377" t="s">
        <v>14</v>
      </c>
      <c r="I377" t="s">
        <v>14</v>
      </c>
      <c r="J377">
        <v>35</v>
      </c>
      <c r="K377" t="s">
        <v>18</v>
      </c>
    </row>
    <row r="378" spans="1:11" x14ac:dyDescent="0.55000000000000004">
      <c r="A378" t="s">
        <v>406</v>
      </c>
      <c r="B378">
        <v>70</v>
      </c>
      <c r="C378" t="s">
        <v>40</v>
      </c>
      <c r="D378" t="s">
        <v>41</v>
      </c>
      <c r="E378">
        <v>6716943</v>
      </c>
      <c r="F378">
        <v>29</v>
      </c>
      <c r="G378">
        <v>460931</v>
      </c>
      <c r="H378" t="s">
        <v>14</v>
      </c>
      <c r="I378" t="s">
        <v>24</v>
      </c>
      <c r="J378">
        <v>110</v>
      </c>
      <c r="K378" t="s">
        <v>25</v>
      </c>
    </row>
    <row r="379" spans="1:11" x14ac:dyDescent="0.55000000000000004">
      <c r="A379" t="s">
        <v>407</v>
      </c>
      <c r="B379">
        <v>45</v>
      </c>
      <c r="C379" t="s">
        <v>40</v>
      </c>
      <c r="D379" t="s">
        <v>13</v>
      </c>
      <c r="E379">
        <v>9347957</v>
      </c>
      <c r="F379">
        <v>9</v>
      </c>
      <c r="G379">
        <v>347640</v>
      </c>
      <c r="H379" t="s">
        <v>14</v>
      </c>
      <c r="I379" t="s">
        <v>24</v>
      </c>
      <c r="J379">
        <v>65</v>
      </c>
      <c r="K379" t="s">
        <v>15</v>
      </c>
    </row>
    <row r="380" spans="1:11" x14ac:dyDescent="0.55000000000000004">
      <c r="A380" t="s">
        <v>408</v>
      </c>
      <c r="B380">
        <v>28</v>
      </c>
      <c r="C380" t="s">
        <v>27</v>
      </c>
      <c r="D380" t="s">
        <v>17</v>
      </c>
      <c r="E380">
        <v>6894429</v>
      </c>
      <c r="F380">
        <v>34</v>
      </c>
      <c r="G380">
        <v>71766</v>
      </c>
      <c r="H380" t="s">
        <v>14</v>
      </c>
      <c r="I380" t="s">
        <v>14</v>
      </c>
      <c r="J380">
        <v>45</v>
      </c>
      <c r="K380" t="s">
        <v>15</v>
      </c>
    </row>
    <row r="381" spans="1:11" x14ac:dyDescent="0.55000000000000004">
      <c r="A381" t="s">
        <v>409</v>
      </c>
      <c r="B381">
        <v>35</v>
      </c>
      <c r="C381" t="s">
        <v>20</v>
      </c>
      <c r="D381" t="s">
        <v>13</v>
      </c>
      <c r="E381">
        <v>5305700</v>
      </c>
      <c r="F381">
        <v>30</v>
      </c>
      <c r="G381">
        <v>358107</v>
      </c>
      <c r="H381" t="s">
        <v>14</v>
      </c>
      <c r="I381" t="s">
        <v>14</v>
      </c>
      <c r="J381">
        <v>45</v>
      </c>
      <c r="K381" t="s">
        <v>15</v>
      </c>
    </row>
    <row r="382" spans="1:11" x14ac:dyDescent="0.55000000000000004">
      <c r="A382" t="s">
        <v>410</v>
      </c>
      <c r="B382">
        <v>48</v>
      </c>
      <c r="C382" t="s">
        <v>40</v>
      </c>
      <c r="D382" t="s">
        <v>36</v>
      </c>
      <c r="E382">
        <v>4452562</v>
      </c>
      <c r="F382">
        <v>30</v>
      </c>
      <c r="G382">
        <v>186487</v>
      </c>
      <c r="H382" t="s">
        <v>14</v>
      </c>
      <c r="I382" t="s">
        <v>24</v>
      </c>
      <c r="J382">
        <v>90</v>
      </c>
      <c r="K382" t="s">
        <v>25</v>
      </c>
    </row>
    <row r="383" spans="1:11" x14ac:dyDescent="0.55000000000000004">
      <c r="A383" t="s">
        <v>411</v>
      </c>
      <c r="B383">
        <v>33</v>
      </c>
      <c r="C383" t="s">
        <v>12</v>
      </c>
      <c r="D383" t="s">
        <v>13</v>
      </c>
      <c r="E383">
        <v>7333690</v>
      </c>
      <c r="F383">
        <v>40</v>
      </c>
      <c r="G383">
        <v>406632</v>
      </c>
      <c r="H383" t="s">
        <v>14</v>
      </c>
      <c r="I383" t="s">
        <v>14</v>
      </c>
      <c r="J383">
        <v>55</v>
      </c>
      <c r="K383" t="s">
        <v>15</v>
      </c>
    </row>
    <row r="384" spans="1:11" x14ac:dyDescent="0.55000000000000004">
      <c r="A384" t="s">
        <v>412</v>
      </c>
      <c r="B384">
        <v>22</v>
      </c>
      <c r="C384" t="s">
        <v>22</v>
      </c>
      <c r="D384" t="s">
        <v>36</v>
      </c>
      <c r="E384">
        <v>1428954</v>
      </c>
      <c r="F384">
        <v>7</v>
      </c>
      <c r="G384">
        <v>316397</v>
      </c>
      <c r="H384" t="s">
        <v>24</v>
      </c>
      <c r="I384" t="s">
        <v>14</v>
      </c>
      <c r="J384">
        <v>90</v>
      </c>
      <c r="K384" t="s">
        <v>25</v>
      </c>
    </row>
    <row r="385" spans="1:11" x14ac:dyDescent="0.55000000000000004">
      <c r="A385" t="s">
        <v>413</v>
      </c>
      <c r="B385">
        <v>59</v>
      </c>
      <c r="C385" t="s">
        <v>20</v>
      </c>
      <c r="D385" t="s">
        <v>36</v>
      </c>
      <c r="E385">
        <v>1042169</v>
      </c>
      <c r="F385">
        <v>26</v>
      </c>
      <c r="G385">
        <v>235142</v>
      </c>
      <c r="H385" t="s">
        <v>14</v>
      </c>
      <c r="I385" t="s">
        <v>14</v>
      </c>
      <c r="J385">
        <v>60</v>
      </c>
      <c r="K385" t="s">
        <v>15</v>
      </c>
    </row>
    <row r="386" spans="1:11" x14ac:dyDescent="0.55000000000000004">
      <c r="A386" t="s">
        <v>414</v>
      </c>
      <c r="B386">
        <v>34</v>
      </c>
      <c r="C386" t="s">
        <v>20</v>
      </c>
      <c r="D386" t="s">
        <v>36</v>
      </c>
      <c r="E386">
        <v>8753969</v>
      </c>
      <c r="F386">
        <v>19</v>
      </c>
      <c r="G386">
        <v>127768</v>
      </c>
      <c r="H386" t="s">
        <v>14</v>
      </c>
      <c r="I386" t="s">
        <v>14</v>
      </c>
      <c r="J386">
        <v>60</v>
      </c>
      <c r="K386" t="s">
        <v>15</v>
      </c>
    </row>
    <row r="387" spans="1:11" x14ac:dyDescent="0.55000000000000004">
      <c r="A387" t="s">
        <v>415</v>
      </c>
      <c r="B387">
        <v>67</v>
      </c>
      <c r="C387" t="s">
        <v>30</v>
      </c>
      <c r="D387" t="s">
        <v>17</v>
      </c>
      <c r="E387">
        <v>5679867</v>
      </c>
      <c r="F387">
        <v>16</v>
      </c>
      <c r="G387">
        <v>163211</v>
      </c>
      <c r="H387" t="s">
        <v>14</v>
      </c>
      <c r="I387" t="s">
        <v>24</v>
      </c>
      <c r="J387">
        <v>75</v>
      </c>
      <c r="K387" t="s">
        <v>15</v>
      </c>
    </row>
    <row r="388" spans="1:11" x14ac:dyDescent="0.55000000000000004">
      <c r="A388" t="s">
        <v>416</v>
      </c>
      <c r="B388">
        <v>63</v>
      </c>
      <c r="C388" t="s">
        <v>22</v>
      </c>
      <c r="D388" t="s">
        <v>23</v>
      </c>
      <c r="E388">
        <v>5341569</v>
      </c>
      <c r="F388">
        <v>18</v>
      </c>
      <c r="G388">
        <v>36959</v>
      </c>
      <c r="H388" t="s">
        <v>14</v>
      </c>
      <c r="I388" t="s">
        <v>14</v>
      </c>
      <c r="J388">
        <v>55</v>
      </c>
      <c r="K388" t="s">
        <v>15</v>
      </c>
    </row>
    <row r="389" spans="1:11" x14ac:dyDescent="0.55000000000000004">
      <c r="A389" t="s">
        <v>417</v>
      </c>
      <c r="B389">
        <v>58</v>
      </c>
      <c r="C389" t="s">
        <v>27</v>
      </c>
      <c r="D389" t="s">
        <v>28</v>
      </c>
      <c r="E389">
        <v>7467236</v>
      </c>
      <c r="F389">
        <v>36</v>
      </c>
      <c r="G389">
        <v>264848</v>
      </c>
      <c r="H389" t="s">
        <v>24</v>
      </c>
      <c r="I389" t="s">
        <v>14</v>
      </c>
      <c r="J389">
        <v>100</v>
      </c>
      <c r="K389" t="s">
        <v>25</v>
      </c>
    </row>
    <row r="390" spans="1:11" x14ac:dyDescent="0.55000000000000004">
      <c r="A390" t="s">
        <v>418</v>
      </c>
      <c r="B390">
        <v>43</v>
      </c>
      <c r="C390" t="s">
        <v>40</v>
      </c>
      <c r="D390" t="s">
        <v>17</v>
      </c>
      <c r="E390">
        <v>5647476</v>
      </c>
      <c r="F390">
        <v>45</v>
      </c>
      <c r="G390">
        <v>223274</v>
      </c>
      <c r="H390" t="s">
        <v>14</v>
      </c>
      <c r="I390" t="s">
        <v>24</v>
      </c>
      <c r="J390">
        <v>85</v>
      </c>
      <c r="K390" t="s">
        <v>25</v>
      </c>
    </row>
    <row r="391" spans="1:11" x14ac:dyDescent="0.55000000000000004">
      <c r="A391" t="s">
        <v>419</v>
      </c>
      <c r="B391">
        <v>40</v>
      </c>
      <c r="C391" t="s">
        <v>40</v>
      </c>
      <c r="D391" t="s">
        <v>36</v>
      </c>
      <c r="E391">
        <v>9324938</v>
      </c>
      <c r="F391">
        <v>31</v>
      </c>
      <c r="G391">
        <v>131336</v>
      </c>
      <c r="H391" t="s">
        <v>14</v>
      </c>
      <c r="I391" t="s">
        <v>24</v>
      </c>
      <c r="J391">
        <v>100</v>
      </c>
      <c r="K391" t="s">
        <v>25</v>
      </c>
    </row>
    <row r="392" spans="1:11" x14ac:dyDescent="0.55000000000000004">
      <c r="A392" t="s">
        <v>420</v>
      </c>
      <c r="B392">
        <v>40</v>
      </c>
      <c r="C392" t="s">
        <v>27</v>
      </c>
      <c r="D392" t="s">
        <v>23</v>
      </c>
      <c r="E392">
        <v>1266769</v>
      </c>
      <c r="F392">
        <v>36</v>
      </c>
      <c r="G392">
        <v>221361</v>
      </c>
      <c r="H392" t="s">
        <v>14</v>
      </c>
      <c r="I392" t="s">
        <v>14</v>
      </c>
      <c r="J392">
        <v>85</v>
      </c>
      <c r="K392" t="s">
        <v>25</v>
      </c>
    </row>
    <row r="393" spans="1:11" x14ac:dyDescent="0.55000000000000004">
      <c r="A393" t="s">
        <v>421</v>
      </c>
      <c r="B393">
        <v>56</v>
      </c>
      <c r="C393" t="s">
        <v>27</v>
      </c>
      <c r="D393" t="s">
        <v>23</v>
      </c>
      <c r="E393">
        <v>4374489</v>
      </c>
      <c r="F393">
        <v>17</v>
      </c>
      <c r="G393">
        <v>111607</v>
      </c>
      <c r="H393" t="s">
        <v>14</v>
      </c>
      <c r="I393" t="s">
        <v>14</v>
      </c>
      <c r="J393">
        <v>75</v>
      </c>
      <c r="K393" t="s">
        <v>15</v>
      </c>
    </row>
    <row r="394" spans="1:11" x14ac:dyDescent="0.55000000000000004">
      <c r="A394" t="s">
        <v>422</v>
      </c>
      <c r="B394">
        <v>26</v>
      </c>
      <c r="C394" t="s">
        <v>45</v>
      </c>
      <c r="D394" t="s">
        <v>41</v>
      </c>
      <c r="E394">
        <v>1851288</v>
      </c>
      <c r="F394">
        <v>35</v>
      </c>
      <c r="G394">
        <v>384891</v>
      </c>
      <c r="H394" t="s">
        <v>14</v>
      </c>
      <c r="I394" t="s">
        <v>14</v>
      </c>
      <c r="J394">
        <v>90</v>
      </c>
      <c r="K394" t="s">
        <v>25</v>
      </c>
    </row>
    <row r="395" spans="1:11" x14ac:dyDescent="0.55000000000000004">
      <c r="A395" t="s">
        <v>423</v>
      </c>
      <c r="B395">
        <v>24</v>
      </c>
      <c r="C395" t="s">
        <v>32</v>
      </c>
      <c r="D395" t="s">
        <v>23</v>
      </c>
      <c r="E395">
        <v>963497</v>
      </c>
      <c r="F395">
        <v>56</v>
      </c>
      <c r="G395">
        <v>43159</v>
      </c>
      <c r="H395" t="s">
        <v>14</v>
      </c>
      <c r="I395" t="s">
        <v>24</v>
      </c>
      <c r="J395">
        <v>95</v>
      </c>
      <c r="K395" t="s">
        <v>25</v>
      </c>
    </row>
    <row r="396" spans="1:11" x14ac:dyDescent="0.55000000000000004">
      <c r="A396" t="s">
        <v>424</v>
      </c>
      <c r="B396">
        <v>69</v>
      </c>
      <c r="C396" t="s">
        <v>22</v>
      </c>
      <c r="D396" t="s">
        <v>23</v>
      </c>
      <c r="E396">
        <v>3804577</v>
      </c>
      <c r="F396">
        <v>56</v>
      </c>
      <c r="G396">
        <v>480546</v>
      </c>
      <c r="H396" t="s">
        <v>14</v>
      </c>
      <c r="I396" t="s">
        <v>14</v>
      </c>
      <c r="J396">
        <v>85</v>
      </c>
      <c r="K396" t="s">
        <v>25</v>
      </c>
    </row>
    <row r="397" spans="1:11" x14ac:dyDescent="0.55000000000000004">
      <c r="A397" t="s">
        <v>425</v>
      </c>
      <c r="B397">
        <v>21</v>
      </c>
      <c r="C397" t="s">
        <v>22</v>
      </c>
      <c r="D397" t="s">
        <v>36</v>
      </c>
      <c r="E397">
        <v>2268239</v>
      </c>
      <c r="F397">
        <v>48</v>
      </c>
      <c r="G397">
        <v>400486</v>
      </c>
      <c r="H397" t="s">
        <v>14</v>
      </c>
      <c r="I397" t="s">
        <v>14</v>
      </c>
      <c r="J397">
        <v>70</v>
      </c>
      <c r="K397" t="s">
        <v>15</v>
      </c>
    </row>
    <row r="398" spans="1:11" x14ac:dyDescent="0.55000000000000004">
      <c r="A398" t="s">
        <v>426</v>
      </c>
      <c r="B398">
        <v>36</v>
      </c>
      <c r="C398" t="s">
        <v>22</v>
      </c>
      <c r="D398" t="s">
        <v>23</v>
      </c>
      <c r="E398">
        <v>4315307</v>
      </c>
      <c r="F398">
        <v>36</v>
      </c>
      <c r="G398">
        <v>173618</v>
      </c>
      <c r="H398" t="s">
        <v>14</v>
      </c>
      <c r="I398" t="s">
        <v>14</v>
      </c>
      <c r="J398">
        <v>85</v>
      </c>
      <c r="K398" t="s">
        <v>25</v>
      </c>
    </row>
    <row r="399" spans="1:11" x14ac:dyDescent="0.55000000000000004">
      <c r="A399" t="s">
        <v>427</v>
      </c>
      <c r="B399">
        <v>45</v>
      </c>
      <c r="C399" t="s">
        <v>45</v>
      </c>
      <c r="D399" t="s">
        <v>17</v>
      </c>
      <c r="E399">
        <v>6327375</v>
      </c>
      <c r="F399">
        <v>20</v>
      </c>
      <c r="G399">
        <v>142133</v>
      </c>
      <c r="H399" t="s">
        <v>14</v>
      </c>
      <c r="I399" t="s">
        <v>14</v>
      </c>
      <c r="J399">
        <v>45</v>
      </c>
      <c r="K399" t="s">
        <v>15</v>
      </c>
    </row>
    <row r="400" spans="1:11" x14ac:dyDescent="0.55000000000000004">
      <c r="A400" t="s">
        <v>428</v>
      </c>
      <c r="B400">
        <v>52</v>
      </c>
      <c r="C400" t="s">
        <v>45</v>
      </c>
      <c r="D400" t="s">
        <v>13</v>
      </c>
      <c r="E400">
        <v>8176742</v>
      </c>
      <c r="F400">
        <v>49</v>
      </c>
      <c r="G400">
        <v>445260</v>
      </c>
      <c r="H400" t="s">
        <v>14</v>
      </c>
      <c r="I400" t="s">
        <v>14</v>
      </c>
      <c r="J400">
        <v>55</v>
      </c>
      <c r="K400" t="s">
        <v>15</v>
      </c>
    </row>
    <row r="401" spans="1:11" x14ac:dyDescent="0.55000000000000004">
      <c r="A401" t="s">
        <v>429</v>
      </c>
      <c r="B401">
        <v>34</v>
      </c>
      <c r="C401" t="s">
        <v>30</v>
      </c>
      <c r="D401" t="s">
        <v>41</v>
      </c>
      <c r="E401">
        <v>7244595</v>
      </c>
      <c r="F401">
        <v>3</v>
      </c>
      <c r="G401">
        <v>299924</v>
      </c>
      <c r="H401" t="s">
        <v>14</v>
      </c>
      <c r="I401" t="s">
        <v>24</v>
      </c>
      <c r="J401">
        <v>100</v>
      </c>
      <c r="K401" t="s">
        <v>25</v>
      </c>
    </row>
    <row r="402" spans="1:11" x14ac:dyDescent="0.55000000000000004">
      <c r="A402" t="s">
        <v>430</v>
      </c>
      <c r="B402">
        <v>68</v>
      </c>
      <c r="C402" t="s">
        <v>27</v>
      </c>
      <c r="D402" t="s">
        <v>13</v>
      </c>
      <c r="E402">
        <v>4675063</v>
      </c>
      <c r="F402">
        <v>36</v>
      </c>
      <c r="G402">
        <v>495082</v>
      </c>
      <c r="H402" t="s">
        <v>14</v>
      </c>
      <c r="I402" t="s">
        <v>14</v>
      </c>
      <c r="J402">
        <v>55</v>
      </c>
      <c r="K402" t="s">
        <v>15</v>
      </c>
    </row>
    <row r="403" spans="1:11" x14ac:dyDescent="0.55000000000000004">
      <c r="A403" t="s">
        <v>431</v>
      </c>
      <c r="B403">
        <v>67</v>
      </c>
      <c r="C403" t="s">
        <v>40</v>
      </c>
      <c r="D403" t="s">
        <v>41</v>
      </c>
      <c r="E403">
        <v>2857039</v>
      </c>
      <c r="F403">
        <v>13</v>
      </c>
      <c r="G403">
        <v>177944</v>
      </c>
      <c r="H403" t="s">
        <v>14</v>
      </c>
      <c r="I403" t="s">
        <v>24</v>
      </c>
      <c r="J403">
        <v>110</v>
      </c>
      <c r="K403" t="s">
        <v>25</v>
      </c>
    </row>
    <row r="404" spans="1:11" x14ac:dyDescent="0.55000000000000004">
      <c r="A404" t="s">
        <v>432</v>
      </c>
      <c r="B404">
        <v>57</v>
      </c>
      <c r="C404" t="s">
        <v>22</v>
      </c>
      <c r="D404" t="s">
        <v>23</v>
      </c>
      <c r="E404">
        <v>9538248</v>
      </c>
      <c r="F404">
        <v>42</v>
      </c>
      <c r="G404">
        <v>499647</v>
      </c>
      <c r="H404" t="s">
        <v>14</v>
      </c>
      <c r="I404" t="s">
        <v>14</v>
      </c>
      <c r="J404">
        <v>85</v>
      </c>
      <c r="K404" t="s">
        <v>25</v>
      </c>
    </row>
    <row r="405" spans="1:11" x14ac:dyDescent="0.55000000000000004">
      <c r="A405" t="s">
        <v>433</v>
      </c>
      <c r="B405">
        <v>37</v>
      </c>
      <c r="C405" t="s">
        <v>45</v>
      </c>
      <c r="D405" t="s">
        <v>28</v>
      </c>
      <c r="E405">
        <v>8530828</v>
      </c>
      <c r="F405">
        <v>30</v>
      </c>
      <c r="G405">
        <v>93202</v>
      </c>
      <c r="H405" t="s">
        <v>14</v>
      </c>
      <c r="I405" t="s">
        <v>14</v>
      </c>
      <c r="J405">
        <v>40</v>
      </c>
      <c r="K405" t="s">
        <v>18</v>
      </c>
    </row>
    <row r="406" spans="1:11" x14ac:dyDescent="0.55000000000000004">
      <c r="A406" t="s">
        <v>434</v>
      </c>
      <c r="B406">
        <v>43</v>
      </c>
      <c r="C406" t="s">
        <v>27</v>
      </c>
      <c r="D406" t="s">
        <v>36</v>
      </c>
      <c r="E406">
        <v>9469525</v>
      </c>
      <c r="F406">
        <v>32</v>
      </c>
      <c r="G406">
        <v>101494</v>
      </c>
      <c r="H406" t="s">
        <v>14</v>
      </c>
      <c r="I406" t="s">
        <v>14</v>
      </c>
      <c r="J406">
        <v>70</v>
      </c>
      <c r="K406" t="s">
        <v>15</v>
      </c>
    </row>
    <row r="407" spans="1:11" x14ac:dyDescent="0.55000000000000004">
      <c r="A407" t="s">
        <v>435</v>
      </c>
      <c r="B407">
        <v>55</v>
      </c>
      <c r="C407" t="s">
        <v>20</v>
      </c>
      <c r="D407" t="s">
        <v>17</v>
      </c>
      <c r="E407">
        <v>867468</v>
      </c>
      <c r="F407">
        <v>54</v>
      </c>
      <c r="G407">
        <v>448913</v>
      </c>
      <c r="H407" t="s">
        <v>14</v>
      </c>
      <c r="I407" t="s">
        <v>14</v>
      </c>
      <c r="J407">
        <v>55</v>
      </c>
      <c r="K407" t="s">
        <v>15</v>
      </c>
    </row>
    <row r="408" spans="1:11" x14ac:dyDescent="0.55000000000000004">
      <c r="A408" t="s">
        <v>436</v>
      </c>
      <c r="B408">
        <v>73</v>
      </c>
      <c r="C408" t="s">
        <v>20</v>
      </c>
      <c r="D408" t="s">
        <v>13</v>
      </c>
      <c r="E408">
        <v>7218793</v>
      </c>
      <c r="F408">
        <v>9</v>
      </c>
      <c r="G408">
        <v>446736</v>
      </c>
      <c r="H408" t="s">
        <v>14</v>
      </c>
      <c r="I408" t="s">
        <v>14</v>
      </c>
      <c r="J408">
        <v>35</v>
      </c>
      <c r="K408" t="s">
        <v>18</v>
      </c>
    </row>
    <row r="409" spans="1:11" x14ac:dyDescent="0.55000000000000004">
      <c r="A409" t="s">
        <v>437</v>
      </c>
      <c r="B409">
        <v>25</v>
      </c>
      <c r="C409" t="s">
        <v>27</v>
      </c>
      <c r="D409" t="s">
        <v>13</v>
      </c>
      <c r="E409">
        <v>3969507</v>
      </c>
      <c r="F409">
        <v>33</v>
      </c>
      <c r="G409">
        <v>244080</v>
      </c>
      <c r="H409" t="s">
        <v>14</v>
      </c>
      <c r="I409" t="s">
        <v>14</v>
      </c>
      <c r="J409">
        <v>55</v>
      </c>
      <c r="K409" t="s">
        <v>15</v>
      </c>
    </row>
    <row r="410" spans="1:11" x14ac:dyDescent="0.55000000000000004">
      <c r="A410" t="s">
        <v>438</v>
      </c>
      <c r="B410">
        <v>60</v>
      </c>
      <c r="C410" t="s">
        <v>45</v>
      </c>
      <c r="D410" t="s">
        <v>28</v>
      </c>
      <c r="E410">
        <v>8484838</v>
      </c>
      <c r="F410">
        <v>2</v>
      </c>
      <c r="G410">
        <v>8466</v>
      </c>
      <c r="H410" t="s">
        <v>14</v>
      </c>
      <c r="I410" t="s">
        <v>14</v>
      </c>
      <c r="J410">
        <v>20</v>
      </c>
      <c r="K410" t="s">
        <v>18</v>
      </c>
    </row>
    <row r="411" spans="1:11" x14ac:dyDescent="0.55000000000000004">
      <c r="A411" t="s">
        <v>439</v>
      </c>
      <c r="B411">
        <v>47</v>
      </c>
      <c r="C411" t="s">
        <v>20</v>
      </c>
      <c r="D411" t="s">
        <v>13</v>
      </c>
      <c r="E411">
        <v>9182154</v>
      </c>
      <c r="F411">
        <v>47</v>
      </c>
      <c r="G411">
        <v>149043</v>
      </c>
      <c r="H411" t="s">
        <v>14</v>
      </c>
      <c r="I411" t="s">
        <v>14</v>
      </c>
      <c r="J411">
        <v>55</v>
      </c>
      <c r="K411" t="s">
        <v>15</v>
      </c>
    </row>
    <row r="412" spans="1:11" x14ac:dyDescent="0.55000000000000004">
      <c r="A412" t="s">
        <v>440</v>
      </c>
      <c r="B412">
        <v>39</v>
      </c>
      <c r="C412" t="s">
        <v>20</v>
      </c>
      <c r="D412" t="s">
        <v>17</v>
      </c>
      <c r="E412">
        <v>7523819</v>
      </c>
      <c r="F412">
        <v>52</v>
      </c>
      <c r="G412">
        <v>497679</v>
      </c>
      <c r="H412" t="s">
        <v>14</v>
      </c>
      <c r="I412" t="s">
        <v>14</v>
      </c>
      <c r="J412">
        <v>55</v>
      </c>
      <c r="K412" t="s">
        <v>15</v>
      </c>
    </row>
    <row r="413" spans="1:11" x14ac:dyDescent="0.55000000000000004">
      <c r="A413" t="s">
        <v>441</v>
      </c>
      <c r="B413">
        <v>27</v>
      </c>
      <c r="C413" t="s">
        <v>12</v>
      </c>
      <c r="D413" t="s">
        <v>17</v>
      </c>
      <c r="E413">
        <v>2798085</v>
      </c>
      <c r="F413">
        <v>16</v>
      </c>
      <c r="G413">
        <v>105627</v>
      </c>
      <c r="H413" t="s">
        <v>14</v>
      </c>
      <c r="I413" t="s">
        <v>14</v>
      </c>
      <c r="J413">
        <v>45</v>
      </c>
      <c r="K413" t="s">
        <v>15</v>
      </c>
    </row>
    <row r="414" spans="1:11" x14ac:dyDescent="0.55000000000000004">
      <c r="A414" t="s">
        <v>442</v>
      </c>
      <c r="B414">
        <v>37</v>
      </c>
      <c r="C414" t="s">
        <v>30</v>
      </c>
      <c r="D414" t="s">
        <v>41</v>
      </c>
      <c r="E414">
        <v>6958817</v>
      </c>
      <c r="F414">
        <v>6</v>
      </c>
      <c r="G414">
        <v>200586</v>
      </c>
      <c r="H414" t="s">
        <v>14</v>
      </c>
      <c r="I414" t="s">
        <v>24</v>
      </c>
      <c r="J414">
        <v>100</v>
      </c>
      <c r="K414" t="s">
        <v>25</v>
      </c>
    </row>
    <row r="415" spans="1:11" x14ac:dyDescent="0.55000000000000004">
      <c r="A415" t="s">
        <v>443</v>
      </c>
      <c r="B415">
        <v>50</v>
      </c>
      <c r="C415" t="s">
        <v>22</v>
      </c>
      <c r="D415" t="s">
        <v>28</v>
      </c>
      <c r="E415">
        <v>4089255</v>
      </c>
      <c r="F415">
        <v>20</v>
      </c>
      <c r="G415">
        <v>363634</v>
      </c>
      <c r="H415" t="s">
        <v>14</v>
      </c>
      <c r="I415" t="s">
        <v>14</v>
      </c>
      <c r="J415">
        <v>50</v>
      </c>
      <c r="K415" t="s">
        <v>15</v>
      </c>
    </row>
    <row r="416" spans="1:11" x14ac:dyDescent="0.55000000000000004">
      <c r="A416" t="s">
        <v>444</v>
      </c>
      <c r="B416">
        <v>26</v>
      </c>
      <c r="C416" t="s">
        <v>20</v>
      </c>
      <c r="D416" t="s">
        <v>13</v>
      </c>
      <c r="E416">
        <v>7099441</v>
      </c>
      <c r="F416">
        <v>25</v>
      </c>
      <c r="G416">
        <v>202745</v>
      </c>
      <c r="H416" t="s">
        <v>14</v>
      </c>
      <c r="I416" t="s">
        <v>14</v>
      </c>
      <c r="J416">
        <v>45</v>
      </c>
      <c r="K416" t="s">
        <v>15</v>
      </c>
    </row>
    <row r="417" spans="1:11" x14ac:dyDescent="0.55000000000000004">
      <c r="A417" t="s">
        <v>445</v>
      </c>
      <c r="B417">
        <v>24</v>
      </c>
      <c r="C417" t="s">
        <v>20</v>
      </c>
      <c r="D417" t="s">
        <v>28</v>
      </c>
      <c r="E417">
        <v>3175339</v>
      </c>
      <c r="F417">
        <v>6</v>
      </c>
      <c r="G417">
        <v>267069</v>
      </c>
      <c r="H417" t="s">
        <v>14</v>
      </c>
      <c r="I417" t="s">
        <v>14</v>
      </c>
      <c r="J417">
        <v>40</v>
      </c>
      <c r="K417" t="s">
        <v>18</v>
      </c>
    </row>
    <row r="418" spans="1:11" x14ac:dyDescent="0.55000000000000004">
      <c r="A418" t="s">
        <v>446</v>
      </c>
      <c r="B418">
        <v>62</v>
      </c>
      <c r="C418" t="s">
        <v>30</v>
      </c>
      <c r="D418" t="s">
        <v>17</v>
      </c>
      <c r="E418">
        <v>1899906</v>
      </c>
      <c r="F418">
        <v>58</v>
      </c>
      <c r="G418">
        <v>281907</v>
      </c>
      <c r="H418" t="s">
        <v>14</v>
      </c>
      <c r="I418" t="s">
        <v>24</v>
      </c>
      <c r="J418">
        <v>85</v>
      </c>
      <c r="K418" t="s">
        <v>25</v>
      </c>
    </row>
    <row r="419" spans="1:11" x14ac:dyDescent="0.55000000000000004">
      <c r="A419" t="s">
        <v>447</v>
      </c>
      <c r="B419">
        <v>35</v>
      </c>
      <c r="C419" t="s">
        <v>22</v>
      </c>
      <c r="D419" t="s">
        <v>28</v>
      </c>
      <c r="E419">
        <v>9809060</v>
      </c>
      <c r="F419">
        <v>31</v>
      </c>
      <c r="G419">
        <v>147131</v>
      </c>
      <c r="H419" t="s">
        <v>24</v>
      </c>
      <c r="I419" t="s">
        <v>14</v>
      </c>
      <c r="J419">
        <v>100</v>
      </c>
      <c r="K419" t="s">
        <v>25</v>
      </c>
    </row>
    <row r="420" spans="1:11" x14ac:dyDescent="0.55000000000000004">
      <c r="A420" t="s">
        <v>448</v>
      </c>
      <c r="B420">
        <v>25</v>
      </c>
      <c r="C420" t="s">
        <v>32</v>
      </c>
      <c r="D420" t="s">
        <v>17</v>
      </c>
      <c r="E420">
        <v>9754126</v>
      </c>
      <c r="F420">
        <v>43</v>
      </c>
      <c r="G420">
        <v>22250</v>
      </c>
      <c r="H420" t="s">
        <v>14</v>
      </c>
      <c r="I420" t="s">
        <v>24</v>
      </c>
      <c r="J420">
        <v>65</v>
      </c>
      <c r="K420" t="s">
        <v>15</v>
      </c>
    </row>
    <row r="421" spans="1:11" x14ac:dyDescent="0.55000000000000004">
      <c r="A421" t="s">
        <v>449</v>
      </c>
      <c r="B421">
        <v>75</v>
      </c>
      <c r="C421" t="s">
        <v>30</v>
      </c>
      <c r="D421" t="s">
        <v>13</v>
      </c>
      <c r="E421">
        <v>3775536</v>
      </c>
      <c r="F421">
        <v>38</v>
      </c>
      <c r="G421">
        <v>80597</v>
      </c>
      <c r="H421" t="s">
        <v>14</v>
      </c>
      <c r="I421" t="s">
        <v>24</v>
      </c>
      <c r="J421">
        <v>75</v>
      </c>
      <c r="K421" t="s">
        <v>15</v>
      </c>
    </row>
    <row r="422" spans="1:11" x14ac:dyDescent="0.55000000000000004">
      <c r="A422" t="s">
        <v>450</v>
      </c>
      <c r="B422">
        <v>66</v>
      </c>
      <c r="C422" t="s">
        <v>40</v>
      </c>
      <c r="D422" t="s">
        <v>13</v>
      </c>
      <c r="E422">
        <v>5321033</v>
      </c>
      <c r="F422">
        <v>11</v>
      </c>
      <c r="G422">
        <v>300676</v>
      </c>
      <c r="H422" t="s">
        <v>14</v>
      </c>
      <c r="I422" t="s">
        <v>24</v>
      </c>
      <c r="J422">
        <v>75</v>
      </c>
      <c r="K422" t="s">
        <v>15</v>
      </c>
    </row>
    <row r="423" spans="1:11" x14ac:dyDescent="0.55000000000000004">
      <c r="A423" t="s">
        <v>451</v>
      </c>
      <c r="B423">
        <v>74</v>
      </c>
      <c r="C423" t="s">
        <v>40</v>
      </c>
      <c r="D423" t="s">
        <v>28</v>
      </c>
      <c r="E423">
        <v>9369132</v>
      </c>
      <c r="F423">
        <v>22</v>
      </c>
      <c r="G423">
        <v>206245</v>
      </c>
      <c r="H423" t="s">
        <v>14</v>
      </c>
      <c r="I423" t="s">
        <v>24</v>
      </c>
      <c r="J423">
        <v>80</v>
      </c>
      <c r="K423" t="s">
        <v>15</v>
      </c>
    </row>
    <row r="424" spans="1:11" x14ac:dyDescent="0.55000000000000004">
      <c r="A424" t="s">
        <v>452</v>
      </c>
      <c r="B424">
        <v>29</v>
      </c>
      <c r="C424" t="s">
        <v>12</v>
      </c>
      <c r="D424" t="s">
        <v>17</v>
      </c>
      <c r="E424">
        <v>6102559</v>
      </c>
      <c r="F424">
        <v>4</v>
      </c>
      <c r="G424">
        <v>56215</v>
      </c>
      <c r="H424" t="s">
        <v>14</v>
      </c>
      <c r="I424" t="s">
        <v>14</v>
      </c>
      <c r="J424">
        <v>25</v>
      </c>
      <c r="K424" t="s">
        <v>18</v>
      </c>
    </row>
    <row r="425" spans="1:11" x14ac:dyDescent="0.55000000000000004">
      <c r="A425" t="s">
        <v>453</v>
      </c>
      <c r="B425">
        <v>74</v>
      </c>
      <c r="C425" t="s">
        <v>12</v>
      </c>
      <c r="D425" t="s">
        <v>41</v>
      </c>
      <c r="E425">
        <v>6955572</v>
      </c>
      <c r="F425">
        <v>50</v>
      </c>
      <c r="G425">
        <v>176115</v>
      </c>
      <c r="H425" t="s">
        <v>24</v>
      </c>
      <c r="I425" t="s">
        <v>14</v>
      </c>
      <c r="J425">
        <v>130</v>
      </c>
      <c r="K425" t="s">
        <v>25</v>
      </c>
    </row>
    <row r="426" spans="1:11" x14ac:dyDescent="0.55000000000000004">
      <c r="A426" t="s">
        <v>454</v>
      </c>
      <c r="B426">
        <v>38</v>
      </c>
      <c r="C426" t="s">
        <v>45</v>
      </c>
      <c r="D426" t="s">
        <v>23</v>
      </c>
      <c r="E426">
        <v>4127527</v>
      </c>
      <c r="F426">
        <v>23</v>
      </c>
      <c r="G426">
        <v>294951</v>
      </c>
      <c r="H426" t="s">
        <v>14</v>
      </c>
      <c r="I426" t="s">
        <v>14</v>
      </c>
      <c r="J426">
        <v>75</v>
      </c>
      <c r="K426" t="s">
        <v>15</v>
      </c>
    </row>
    <row r="427" spans="1:11" x14ac:dyDescent="0.55000000000000004">
      <c r="A427" t="s">
        <v>455</v>
      </c>
      <c r="B427">
        <v>48</v>
      </c>
      <c r="C427" t="s">
        <v>27</v>
      </c>
      <c r="D427" t="s">
        <v>28</v>
      </c>
      <c r="E427">
        <v>6676562</v>
      </c>
      <c r="F427">
        <v>6</v>
      </c>
      <c r="G427">
        <v>409838</v>
      </c>
      <c r="H427" t="s">
        <v>14</v>
      </c>
      <c r="I427" t="s">
        <v>14</v>
      </c>
      <c r="J427">
        <v>40</v>
      </c>
      <c r="K427" t="s">
        <v>18</v>
      </c>
    </row>
    <row r="428" spans="1:11" x14ac:dyDescent="0.55000000000000004">
      <c r="A428" t="s">
        <v>456</v>
      </c>
      <c r="B428">
        <v>72</v>
      </c>
      <c r="C428" t="s">
        <v>22</v>
      </c>
      <c r="D428" t="s">
        <v>28</v>
      </c>
      <c r="E428">
        <v>1533237</v>
      </c>
      <c r="F428">
        <v>6</v>
      </c>
      <c r="G428">
        <v>145494</v>
      </c>
      <c r="H428" t="s">
        <v>14</v>
      </c>
      <c r="I428" t="s">
        <v>14</v>
      </c>
      <c r="J428">
        <v>40</v>
      </c>
      <c r="K428" t="s">
        <v>18</v>
      </c>
    </row>
    <row r="429" spans="1:11" x14ac:dyDescent="0.55000000000000004">
      <c r="A429" t="s">
        <v>457</v>
      </c>
      <c r="B429">
        <v>66</v>
      </c>
      <c r="C429" t="s">
        <v>27</v>
      </c>
      <c r="D429" t="s">
        <v>28</v>
      </c>
      <c r="E429">
        <v>6836772</v>
      </c>
      <c r="F429">
        <v>21</v>
      </c>
      <c r="G429">
        <v>194110</v>
      </c>
      <c r="H429" t="s">
        <v>14</v>
      </c>
      <c r="I429" t="s">
        <v>14</v>
      </c>
      <c r="J429">
        <v>50</v>
      </c>
      <c r="K429" t="s">
        <v>15</v>
      </c>
    </row>
    <row r="430" spans="1:11" x14ac:dyDescent="0.55000000000000004">
      <c r="A430" t="s">
        <v>458</v>
      </c>
      <c r="B430">
        <v>21</v>
      </c>
      <c r="C430" t="s">
        <v>32</v>
      </c>
      <c r="D430" t="s">
        <v>23</v>
      </c>
      <c r="E430">
        <v>6338413</v>
      </c>
      <c r="F430">
        <v>49</v>
      </c>
      <c r="G430">
        <v>146435</v>
      </c>
      <c r="H430" t="s">
        <v>14</v>
      </c>
      <c r="I430" t="s">
        <v>24</v>
      </c>
      <c r="J430">
        <v>115</v>
      </c>
      <c r="K430" t="s">
        <v>25</v>
      </c>
    </row>
    <row r="431" spans="1:11" x14ac:dyDescent="0.55000000000000004">
      <c r="A431" t="s">
        <v>459</v>
      </c>
      <c r="B431">
        <v>26</v>
      </c>
      <c r="C431" t="s">
        <v>27</v>
      </c>
      <c r="D431" t="s">
        <v>23</v>
      </c>
      <c r="E431">
        <v>7830347</v>
      </c>
      <c r="F431">
        <v>36</v>
      </c>
      <c r="G431">
        <v>295843</v>
      </c>
      <c r="H431" t="s">
        <v>14</v>
      </c>
      <c r="I431" t="s">
        <v>14</v>
      </c>
      <c r="J431">
        <v>85</v>
      </c>
      <c r="K431" t="s">
        <v>25</v>
      </c>
    </row>
    <row r="432" spans="1:11" x14ac:dyDescent="0.55000000000000004">
      <c r="A432" t="s">
        <v>460</v>
      </c>
      <c r="B432">
        <v>27</v>
      </c>
      <c r="C432" t="s">
        <v>20</v>
      </c>
      <c r="D432" t="s">
        <v>13</v>
      </c>
      <c r="E432">
        <v>6237696</v>
      </c>
      <c r="F432">
        <v>36</v>
      </c>
      <c r="G432">
        <v>53792</v>
      </c>
      <c r="H432" t="s">
        <v>14</v>
      </c>
      <c r="I432" t="s">
        <v>14</v>
      </c>
      <c r="J432">
        <v>45</v>
      </c>
      <c r="K432" t="s">
        <v>15</v>
      </c>
    </row>
    <row r="433" spans="1:11" x14ac:dyDescent="0.55000000000000004">
      <c r="A433" t="s">
        <v>461</v>
      </c>
      <c r="B433">
        <v>71</v>
      </c>
      <c r="C433" t="s">
        <v>30</v>
      </c>
      <c r="D433" t="s">
        <v>23</v>
      </c>
      <c r="E433">
        <v>507041</v>
      </c>
      <c r="F433">
        <v>19</v>
      </c>
      <c r="G433">
        <v>221955</v>
      </c>
      <c r="H433" t="s">
        <v>14</v>
      </c>
      <c r="I433" t="s">
        <v>24</v>
      </c>
      <c r="J433">
        <v>105</v>
      </c>
      <c r="K433" t="s">
        <v>25</v>
      </c>
    </row>
    <row r="434" spans="1:11" x14ac:dyDescent="0.55000000000000004">
      <c r="A434" t="s">
        <v>462</v>
      </c>
      <c r="B434">
        <v>26</v>
      </c>
      <c r="C434" t="s">
        <v>22</v>
      </c>
      <c r="D434" t="s">
        <v>17</v>
      </c>
      <c r="E434">
        <v>9042683</v>
      </c>
      <c r="F434">
        <v>11</v>
      </c>
      <c r="G434">
        <v>364302</v>
      </c>
      <c r="H434" t="s">
        <v>14</v>
      </c>
      <c r="I434" t="s">
        <v>14</v>
      </c>
      <c r="J434">
        <v>45</v>
      </c>
      <c r="K434" t="s">
        <v>15</v>
      </c>
    </row>
    <row r="435" spans="1:11" x14ac:dyDescent="0.55000000000000004">
      <c r="A435" t="s">
        <v>463</v>
      </c>
      <c r="B435">
        <v>29</v>
      </c>
      <c r="C435" t="s">
        <v>32</v>
      </c>
      <c r="D435" t="s">
        <v>41</v>
      </c>
      <c r="E435">
        <v>4803118</v>
      </c>
      <c r="F435">
        <v>32</v>
      </c>
      <c r="G435">
        <v>81511</v>
      </c>
      <c r="H435" t="s">
        <v>14</v>
      </c>
      <c r="I435" t="s">
        <v>24</v>
      </c>
      <c r="J435">
        <v>110</v>
      </c>
      <c r="K435" t="s">
        <v>25</v>
      </c>
    </row>
    <row r="436" spans="1:11" x14ac:dyDescent="0.55000000000000004">
      <c r="A436" t="s">
        <v>464</v>
      </c>
      <c r="B436">
        <v>48</v>
      </c>
      <c r="C436" t="s">
        <v>32</v>
      </c>
      <c r="D436" t="s">
        <v>23</v>
      </c>
      <c r="E436">
        <v>5329008</v>
      </c>
      <c r="F436">
        <v>31</v>
      </c>
      <c r="G436">
        <v>415342</v>
      </c>
      <c r="H436" t="s">
        <v>14</v>
      </c>
      <c r="I436" t="s">
        <v>24</v>
      </c>
      <c r="J436">
        <v>115</v>
      </c>
      <c r="K436" t="s">
        <v>25</v>
      </c>
    </row>
    <row r="437" spans="1:11" x14ac:dyDescent="0.55000000000000004">
      <c r="A437" t="s">
        <v>465</v>
      </c>
      <c r="B437">
        <v>37</v>
      </c>
      <c r="C437" t="s">
        <v>22</v>
      </c>
      <c r="D437" t="s">
        <v>28</v>
      </c>
      <c r="E437">
        <v>8618184</v>
      </c>
      <c r="F437">
        <v>39</v>
      </c>
      <c r="G437">
        <v>328312</v>
      </c>
      <c r="H437" t="s">
        <v>14</v>
      </c>
      <c r="I437" t="s">
        <v>14</v>
      </c>
      <c r="J437">
        <v>60</v>
      </c>
      <c r="K437" t="s">
        <v>15</v>
      </c>
    </row>
    <row r="438" spans="1:11" x14ac:dyDescent="0.55000000000000004">
      <c r="A438" t="s">
        <v>466</v>
      </c>
      <c r="B438">
        <v>27</v>
      </c>
      <c r="C438" t="s">
        <v>27</v>
      </c>
      <c r="D438" t="s">
        <v>41</v>
      </c>
      <c r="E438">
        <v>413537</v>
      </c>
      <c r="F438">
        <v>26</v>
      </c>
      <c r="G438">
        <v>179177</v>
      </c>
      <c r="H438" t="s">
        <v>14</v>
      </c>
      <c r="I438" t="s">
        <v>14</v>
      </c>
      <c r="J438">
        <v>80</v>
      </c>
      <c r="K438" t="s">
        <v>15</v>
      </c>
    </row>
    <row r="439" spans="1:11" x14ac:dyDescent="0.55000000000000004">
      <c r="A439" t="s">
        <v>467</v>
      </c>
      <c r="B439">
        <v>45</v>
      </c>
      <c r="C439" t="s">
        <v>30</v>
      </c>
      <c r="D439" t="s">
        <v>23</v>
      </c>
      <c r="E439">
        <v>5915941</v>
      </c>
      <c r="F439">
        <v>28</v>
      </c>
      <c r="G439">
        <v>432544</v>
      </c>
      <c r="H439" t="s">
        <v>14</v>
      </c>
      <c r="I439" t="s">
        <v>24</v>
      </c>
      <c r="J439">
        <v>105</v>
      </c>
      <c r="K439" t="s">
        <v>25</v>
      </c>
    </row>
    <row r="440" spans="1:11" x14ac:dyDescent="0.55000000000000004">
      <c r="A440" t="s">
        <v>468</v>
      </c>
      <c r="B440">
        <v>62</v>
      </c>
      <c r="C440" t="s">
        <v>27</v>
      </c>
      <c r="D440" t="s">
        <v>41</v>
      </c>
      <c r="E440">
        <v>5679868</v>
      </c>
      <c r="F440">
        <v>39</v>
      </c>
      <c r="G440">
        <v>369533</v>
      </c>
      <c r="H440" t="s">
        <v>14</v>
      </c>
      <c r="I440" t="s">
        <v>14</v>
      </c>
      <c r="J440">
        <v>90</v>
      </c>
      <c r="K440" t="s">
        <v>25</v>
      </c>
    </row>
    <row r="441" spans="1:11" x14ac:dyDescent="0.55000000000000004">
      <c r="A441" t="s">
        <v>469</v>
      </c>
      <c r="B441">
        <v>41</v>
      </c>
      <c r="C441" t="s">
        <v>27</v>
      </c>
      <c r="D441" t="s">
        <v>23</v>
      </c>
      <c r="E441">
        <v>5654241</v>
      </c>
      <c r="F441">
        <v>19</v>
      </c>
      <c r="G441">
        <v>390285</v>
      </c>
      <c r="H441" t="s">
        <v>14</v>
      </c>
      <c r="I441" t="s">
        <v>14</v>
      </c>
      <c r="J441">
        <v>75</v>
      </c>
      <c r="K441" t="s">
        <v>15</v>
      </c>
    </row>
    <row r="442" spans="1:11" x14ac:dyDescent="0.55000000000000004">
      <c r="A442" t="s">
        <v>470</v>
      </c>
      <c r="B442">
        <v>52</v>
      </c>
      <c r="C442" t="s">
        <v>22</v>
      </c>
      <c r="D442" t="s">
        <v>41</v>
      </c>
      <c r="E442">
        <v>6609161</v>
      </c>
      <c r="F442">
        <v>18</v>
      </c>
      <c r="G442">
        <v>433078</v>
      </c>
      <c r="H442" t="s">
        <v>14</v>
      </c>
      <c r="I442" t="s">
        <v>14</v>
      </c>
      <c r="J442">
        <v>80</v>
      </c>
      <c r="K442" t="s">
        <v>15</v>
      </c>
    </row>
    <row r="443" spans="1:11" x14ac:dyDescent="0.55000000000000004">
      <c r="A443" t="s">
        <v>471</v>
      </c>
      <c r="B443">
        <v>44</v>
      </c>
      <c r="C443" t="s">
        <v>12</v>
      </c>
      <c r="D443" t="s">
        <v>17</v>
      </c>
      <c r="E443">
        <v>3652088</v>
      </c>
      <c r="F443">
        <v>38</v>
      </c>
      <c r="G443">
        <v>291066</v>
      </c>
      <c r="H443" t="s">
        <v>14</v>
      </c>
      <c r="I443" t="s">
        <v>14</v>
      </c>
      <c r="J443">
        <v>55</v>
      </c>
      <c r="K443" t="s">
        <v>15</v>
      </c>
    </row>
    <row r="444" spans="1:11" x14ac:dyDescent="0.55000000000000004">
      <c r="A444" t="s">
        <v>472</v>
      </c>
      <c r="B444">
        <v>70</v>
      </c>
      <c r="C444" t="s">
        <v>20</v>
      </c>
      <c r="D444" t="s">
        <v>28</v>
      </c>
      <c r="E444">
        <v>8044735</v>
      </c>
      <c r="F444">
        <v>46</v>
      </c>
      <c r="G444">
        <v>114916</v>
      </c>
      <c r="H444" t="s">
        <v>14</v>
      </c>
      <c r="I444" t="s">
        <v>14</v>
      </c>
      <c r="J444">
        <v>60</v>
      </c>
      <c r="K444" t="s">
        <v>15</v>
      </c>
    </row>
    <row r="445" spans="1:11" x14ac:dyDescent="0.55000000000000004">
      <c r="A445" t="s">
        <v>473</v>
      </c>
      <c r="B445">
        <v>39</v>
      </c>
      <c r="C445" t="s">
        <v>12</v>
      </c>
      <c r="D445" t="s">
        <v>23</v>
      </c>
      <c r="E445">
        <v>8676917</v>
      </c>
      <c r="F445">
        <v>9</v>
      </c>
      <c r="G445">
        <v>337050</v>
      </c>
      <c r="H445" t="s">
        <v>14</v>
      </c>
      <c r="I445" t="s">
        <v>14</v>
      </c>
      <c r="J445">
        <v>65</v>
      </c>
      <c r="K445" t="s">
        <v>15</v>
      </c>
    </row>
    <row r="446" spans="1:11" x14ac:dyDescent="0.55000000000000004">
      <c r="A446" t="s">
        <v>474</v>
      </c>
      <c r="B446">
        <v>37</v>
      </c>
      <c r="C446" t="s">
        <v>27</v>
      </c>
      <c r="D446" t="s">
        <v>28</v>
      </c>
      <c r="E446">
        <v>7398909</v>
      </c>
      <c r="F446">
        <v>51</v>
      </c>
      <c r="G446">
        <v>202651</v>
      </c>
      <c r="H446" t="s">
        <v>14</v>
      </c>
      <c r="I446" t="s">
        <v>14</v>
      </c>
      <c r="J446">
        <v>60</v>
      </c>
      <c r="K446" t="s">
        <v>15</v>
      </c>
    </row>
    <row r="447" spans="1:11" x14ac:dyDescent="0.55000000000000004">
      <c r="A447" t="s">
        <v>475</v>
      </c>
      <c r="B447">
        <v>59</v>
      </c>
      <c r="C447" t="s">
        <v>45</v>
      </c>
      <c r="D447" t="s">
        <v>17</v>
      </c>
      <c r="E447">
        <v>7024393</v>
      </c>
      <c r="F447">
        <v>35</v>
      </c>
      <c r="G447">
        <v>270610</v>
      </c>
      <c r="H447" t="s">
        <v>14</v>
      </c>
      <c r="I447" t="s">
        <v>14</v>
      </c>
      <c r="J447">
        <v>55</v>
      </c>
      <c r="K447" t="s">
        <v>15</v>
      </c>
    </row>
    <row r="448" spans="1:11" x14ac:dyDescent="0.55000000000000004">
      <c r="A448" t="s">
        <v>476</v>
      </c>
      <c r="B448">
        <v>65</v>
      </c>
      <c r="C448" t="s">
        <v>40</v>
      </c>
      <c r="D448" t="s">
        <v>17</v>
      </c>
      <c r="E448">
        <v>916817</v>
      </c>
      <c r="F448">
        <v>51</v>
      </c>
      <c r="G448">
        <v>193496</v>
      </c>
      <c r="H448" t="s">
        <v>14</v>
      </c>
      <c r="I448" t="s">
        <v>24</v>
      </c>
      <c r="J448">
        <v>85</v>
      </c>
      <c r="K448" t="s">
        <v>25</v>
      </c>
    </row>
    <row r="449" spans="1:11" x14ac:dyDescent="0.55000000000000004">
      <c r="A449" t="s">
        <v>477</v>
      </c>
      <c r="B449">
        <v>72</v>
      </c>
      <c r="C449" t="s">
        <v>12</v>
      </c>
      <c r="D449" t="s">
        <v>13</v>
      </c>
      <c r="E449">
        <v>4464624</v>
      </c>
      <c r="F449">
        <v>43</v>
      </c>
      <c r="G449">
        <v>353491</v>
      </c>
      <c r="H449" t="s">
        <v>14</v>
      </c>
      <c r="I449" t="s">
        <v>14</v>
      </c>
      <c r="J449">
        <v>55</v>
      </c>
      <c r="K449" t="s">
        <v>15</v>
      </c>
    </row>
    <row r="450" spans="1:11" x14ac:dyDescent="0.55000000000000004">
      <c r="A450" t="s">
        <v>478</v>
      </c>
      <c r="B450">
        <v>62</v>
      </c>
      <c r="C450" t="s">
        <v>20</v>
      </c>
      <c r="D450" t="s">
        <v>17</v>
      </c>
      <c r="E450">
        <v>7004473</v>
      </c>
      <c r="F450">
        <v>49</v>
      </c>
      <c r="G450">
        <v>178852</v>
      </c>
      <c r="H450" t="s">
        <v>14</v>
      </c>
      <c r="I450" t="s">
        <v>14</v>
      </c>
      <c r="J450">
        <v>55</v>
      </c>
      <c r="K450" t="s">
        <v>15</v>
      </c>
    </row>
    <row r="451" spans="1:11" x14ac:dyDescent="0.55000000000000004">
      <c r="A451" t="s">
        <v>479</v>
      </c>
      <c r="B451">
        <v>48</v>
      </c>
      <c r="C451" t="s">
        <v>12</v>
      </c>
      <c r="D451" t="s">
        <v>13</v>
      </c>
      <c r="E451">
        <v>1954343</v>
      </c>
      <c r="F451">
        <v>17</v>
      </c>
      <c r="G451">
        <v>121392</v>
      </c>
      <c r="H451" t="s">
        <v>14</v>
      </c>
      <c r="I451" t="s">
        <v>14</v>
      </c>
      <c r="J451">
        <v>45</v>
      </c>
      <c r="K451" t="s">
        <v>15</v>
      </c>
    </row>
    <row r="452" spans="1:11" x14ac:dyDescent="0.55000000000000004">
      <c r="A452" t="s">
        <v>480</v>
      </c>
      <c r="B452">
        <v>54</v>
      </c>
      <c r="C452" t="s">
        <v>22</v>
      </c>
      <c r="D452" t="s">
        <v>23</v>
      </c>
      <c r="E452">
        <v>6576684</v>
      </c>
      <c r="F452">
        <v>26</v>
      </c>
      <c r="G452">
        <v>247778</v>
      </c>
      <c r="H452" t="s">
        <v>14</v>
      </c>
      <c r="I452" t="s">
        <v>14</v>
      </c>
      <c r="J452">
        <v>75</v>
      </c>
      <c r="K452" t="s">
        <v>15</v>
      </c>
    </row>
    <row r="453" spans="1:11" x14ac:dyDescent="0.55000000000000004">
      <c r="A453" t="s">
        <v>481</v>
      </c>
      <c r="B453">
        <v>58</v>
      </c>
      <c r="C453" t="s">
        <v>27</v>
      </c>
      <c r="D453" t="s">
        <v>41</v>
      </c>
      <c r="E453">
        <v>712092</v>
      </c>
      <c r="F453">
        <v>31</v>
      </c>
      <c r="G453">
        <v>59813</v>
      </c>
      <c r="H453" t="s">
        <v>14</v>
      </c>
      <c r="I453" t="s">
        <v>14</v>
      </c>
      <c r="J453">
        <v>80</v>
      </c>
      <c r="K453" t="s">
        <v>15</v>
      </c>
    </row>
    <row r="454" spans="1:11" x14ac:dyDescent="0.55000000000000004">
      <c r="A454" t="s">
        <v>482</v>
      </c>
      <c r="B454">
        <v>26</v>
      </c>
      <c r="C454" t="s">
        <v>12</v>
      </c>
      <c r="D454" t="s">
        <v>28</v>
      </c>
      <c r="E454">
        <v>2676915</v>
      </c>
      <c r="F454">
        <v>23</v>
      </c>
      <c r="G454">
        <v>168520</v>
      </c>
      <c r="H454" t="s">
        <v>14</v>
      </c>
      <c r="I454" t="s">
        <v>14</v>
      </c>
      <c r="J454">
        <v>50</v>
      </c>
      <c r="K454" t="s">
        <v>15</v>
      </c>
    </row>
    <row r="455" spans="1:11" x14ac:dyDescent="0.55000000000000004">
      <c r="A455" t="s">
        <v>483</v>
      </c>
      <c r="B455">
        <v>71</v>
      </c>
      <c r="C455" t="s">
        <v>22</v>
      </c>
      <c r="D455" t="s">
        <v>17</v>
      </c>
      <c r="E455">
        <v>8402153</v>
      </c>
      <c r="F455">
        <v>23</v>
      </c>
      <c r="G455">
        <v>254646</v>
      </c>
      <c r="H455" t="s">
        <v>14</v>
      </c>
      <c r="I455" t="s">
        <v>14</v>
      </c>
      <c r="J455">
        <v>45</v>
      </c>
      <c r="K455" t="s">
        <v>15</v>
      </c>
    </row>
    <row r="456" spans="1:11" x14ac:dyDescent="0.55000000000000004">
      <c r="A456" t="s">
        <v>484</v>
      </c>
      <c r="B456">
        <v>67</v>
      </c>
      <c r="C456" t="s">
        <v>45</v>
      </c>
      <c r="D456" t="s">
        <v>41</v>
      </c>
      <c r="E456">
        <v>1426998</v>
      </c>
      <c r="F456">
        <v>20</v>
      </c>
      <c r="G456">
        <v>28426</v>
      </c>
      <c r="H456" t="s">
        <v>14</v>
      </c>
      <c r="I456" t="s">
        <v>14</v>
      </c>
      <c r="J456">
        <v>60</v>
      </c>
      <c r="K456" t="s">
        <v>15</v>
      </c>
    </row>
    <row r="457" spans="1:11" x14ac:dyDescent="0.55000000000000004">
      <c r="A457" t="s">
        <v>485</v>
      </c>
      <c r="B457">
        <v>28</v>
      </c>
      <c r="C457" t="s">
        <v>20</v>
      </c>
      <c r="D457" t="s">
        <v>41</v>
      </c>
      <c r="E457">
        <v>2134801</v>
      </c>
      <c r="F457">
        <v>44</v>
      </c>
      <c r="G457">
        <v>424456</v>
      </c>
      <c r="H457" t="s">
        <v>14</v>
      </c>
      <c r="I457" t="s">
        <v>14</v>
      </c>
      <c r="J457">
        <v>90</v>
      </c>
      <c r="K457" t="s">
        <v>25</v>
      </c>
    </row>
    <row r="458" spans="1:11" x14ac:dyDescent="0.55000000000000004">
      <c r="A458" t="s">
        <v>486</v>
      </c>
      <c r="B458">
        <v>68</v>
      </c>
      <c r="C458" t="s">
        <v>22</v>
      </c>
      <c r="D458" t="s">
        <v>17</v>
      </c>
      <c r="E458">
        <v>3226839</v>
      </c>
      <c r="F458">
        <v>36</v>
      </c>
      <c r="G458">
        <v>88957</v>
      </c>
      <c r="H458" t="s">
        <v>14</v>
      </c>
      <c r="I458" t="s">
        <v>14</v>
      </c>
      <c r="J458">
        <v>45</v>
      </c>
      <c r="K458" t="s">
        <v>15</v>
      </c>
    </row>
    <row r="459" spans="1:11" x14ac:dyDescent="0.55000000000000004">
      <c r="A459" t="s">
        <v>487</v>
      </c>
      <c r="B459">
        <v>48</v>
      </c>
      <c r="C459" t="s">
        <v>45</v>
      </c>
      <c r="D459" t="s">
        <v>36</v>
      </c>
      <c r="E459">
        <v>7095568</v>
      </c>
      <c r="F459">
        <v>41</v>
      </c>
      <c r="G459">
        <v>101705</v>
      </c>
      <c r="H459" t="s">
        <v>14</v>
      </c>
      <c r="I459" t="s">
        <v>14</v>
      </c>
      <c r="J459">
        <v>70</v>
      </c>
      <c r="K459" t="s">
        <v>15</v>
      </c>
    </row>
    <row r="460" spans="1:11" x14ac:dyDescent="0.55000000000000004">
      <c r="A460" t="s">
        <v>488</v>
      </c>
      <c r="B460">
        <v>63</v>
      </c>
      <c r="C460" t="s">
        <v>40</v>
      </c>
      <c r="D460" t="s">
        <v>23</v>
      </c>
      <c r="E460">
        <v>789765</v>
      </c>
      <c r="F460">
        <v>48</v>
      </c>
      <c r="G460">
        <v>326968</v>
      </c>
      <c r="H460" t="s">
        <v>14</v>
      </c>
      <c r="I460" t="s">
        <v>24</v>
      </c>
      <c r="J460">
        <v>115</v>
      </c>
      <c r="K460" t="s">
        <v>25</v>
      </c>
    </row>
    <row r="461" spans="1:11" x14ac:dyDescent="0.55000000000000004">
      <c r="A461" t="s">
        <v>489</v>
      </c>
      <c r="B461">
        <v>49</v>
      </c>
      <c r="C461" t="s">
        <v>40</v>
      </c>
      <c r="D461" t="s">
        <v>23</v>
      </c>
      <c r="E461">
        <v>374659</v>
      </c>
      <c r="F461">
        <v>46</v>
      </c>
      <c r="G461">
        <v>117615</v>
      </c>
      <c r="H461" t="s">
        <v>14</v>
      </c>
      <c r="I461" t="s">
        <v>24</v>
      </c>
      <c r="J461">
        <v>115</v>
      </c>
      <c r="K461" t="s">
        <v>25</v>
      </c>
    </row>
    <row r="462" spans="1:11" x14ac:dyDescent="0.55000000000000004">
      <c r="A462" t="s">
        <v>490</v>
      </c>
      <c r="B462">
        <v>69</v>
      </c>
      <c r="C462" t="s">
        <v>12</v>
      </c>
      <c r="D462" t="s">
        <v>17</v>
      </c>
      <c r="E462">
        <v>2007116</v>
      </c>
      <c r="F462">
        <v>52</v>
      </c>
      <c r="G462">
        <v>462168</v>
      </c>
      <c r="H462" t="s">
        <v>14</v>
      </c>
      <c r="I462" t="s">
        <v>14</v>
      </c>
      <c r="J462">
        <v>55</v>
      </c>
      <c r="K462" t="s">
        <v>15</v>
      </c>
    </row>
    <row r="463" spans="1:11" x14ac:dyDescent="0.55000000000000004">
      <c r="A463" t="s">
        <v>491</v>
      </c>
      <c r="B463">
        <v>44</v>
      </c>
      <c r="C463" t="s">
        <v>30</v>
      </c>
      <c r="D463" t="s">
        <v>36</v>
      </c>
      <c r="E463">
        <v>7976422</v>
      </c>
      <c r="F463">
        <v>8</v>
      </c>
      <c r="G463">
        <v>142548</v>
      </c>
      <c r="H463" t="s">
        <v>14</v>
      </c>
      <c r="I463" t="s">
        <v>24</v>
      </c>
      <c r="J463">
        <v>80</v>
      </c>
      <c r="K463" t="s">
        <v>15</v>
      </c>
    </row>
    <row r="464" spans="1:11" x14ac:dyDescent="0.55000000000000004">
      <c r="A464" t="s">
        <v>492</v>
      </c>
      <c r="B464">
        <v>52</v>
      </c>
      <c r="C464" t="s">
        <v>30</v>
      </c>
      <c r="D464" t="s">
        <v>17</v>
      </c>
      <c r="E464">
        <v>6820284</v>
      </c>
      <c r="F464">
        <v>40</v>
      </c>
      <c r="G464">
        <v>210806</v>
      </c>
      <c r="H464" t="s">
        <v>14</v>
      </c>
      <c r="I464" t="s">
        <v>24</v>
      </c>
      <c r="J464">
        <v>85</v>
      </c>
      <c r="K464" t="s">
        <v>25</v>
      </c>
    </row>
    <row r="465" spans="1:11" x14ac:dyDescent="0.55000000000000004">
      <c r="A465" t="s">
        <v>493</v>
      </c>
      <c r="B465">
        <v>43</v>
      </c>
      <c r="C465" t="s">
        <v>30</v>
      </c>
      <c r="D465" t="s">
        <v>23</v>
      </c>
      <c r="E465">
        <v>3194531</v>
      </c>
      <c r="F465">
        <v>53</v>
      </c>
      <c r="G465">
        <v>358154</v>
      </c>
      <c r="H465" t="s">
        <v>14</v>
      </c>
      <c r="I465" t="s">
        <v>24</v>
      </c>
      <c r="J465">
        <v>115</v>
      </c>
      <c r="K465" t="s">
        <v>25</v>
      </c>
    </row>
    <row r="466" spans="1:11" x14ac:dyDescent="0.55000000000000004">
      <c r="A466" t="s">
        <v>494</v>
      </c>
      <c r="B466">
        <v>40</v>
      </c>
      <c r="C466" t="s">
        <v>12</v>
      </c>
      <c r="D466" t="s">
        <v>28</v>
      </c>
      <c r="E466">
        <v>2547270</v>
      </c>
      <c r="F466">
        <v>21</v>
      </c>
      <c r="G466">
        <v>66793</v>
      </c>
      <c r="H466" t="s">
        <v>14</v>
      </c>
      <c r="I466" t="s">
        <v>14</v>
      </c>
      <c r="J466">
        <v>40</v>
      </c>
      <c r="K466" t="s">
        <v>18</v>
      </c>
    </row>
    <row r="467" spans="1:11" x14ac:dyDescent="0.55000000000000004">
      <c r="A467" t="s">
        <v>495</v>
      </c>
      <c r="B467">
        <v>28</v>
      </c>
      <c r="C467" t="s">
        <v>27</v>
      </c>
      <c r="D467" t="s">
        <v>41</v>
      </c>
      <c r="E467">
        <v>2671602</v>
      </c>
      <c r="F467">
        <v>33</v>
      </c>
      <c r="G467">
        <v>208666</v>
      </c>
      <c r="H467" t="s">
        <v>14</v>
      </c>
      <c r="I467" t="s">
        <v>14</v>
      </c>
      <c r="J467">
        <v>90</v>
      </c>
      <c r="K467" t="s">
        <v>25</v>
      </c>
    </row>
    <row r="468" spans="1:11" x14ac:dyDescent="0.55000000000000004">
      <c r="A468" t="s">
        <v>496</v>
      </c>
      <c r="B468">
        <v>29</v>
      </c>
      <c r="C468" t="s">
        <v>40</v>
      </c>
      <c r="D468" t="s">
        <v>23</v>
      </c>
      <c r="E468">
        <v>3416429</v>
      </c>
      <c r="F468">
        <v>32</v>
      </c>
      <c r="G468">
        <v>338185</v>
      </c>
      <c r="H468" t="s">
        <v>14</v>
      </c>
      <c r="I468" t="s">
        <v>24</v>
      </c>
      <c r="J468">
        <v>115</v>
      </c>
      <c r="K468" t="s">
        <v>25</v>
      </c>
    </row>
    <row r="469" spans="1:11" x14ac:dyDescent="0.55000000000000004">
      <c r="A469" t="s">
        <v>497</v>
      </c>
      <c r="B469">
        <v>62</v>
      </c>
      <c r="C469" t="s">
        <v>27</v>
      </c>
      <c r="D469" t="s">
        <v>17</v>
      </c>
      <c r="E469">
        <v>3099538</v>
      </c>
      <c r="F469">
        <v>32</v>
      </c>
      <c r="G469">
        <v>156432</v>
      </c>
      <c r="H469" t="s">
        <v>14</v>
      </c>
      <c r="I469" t="s">
        <v>14</v>
      </c>
      <c r="J469">
        <v>55</v>
      </c>
      <c r="K469" t="s">
        <v>15</v>
      </c>
    </row>
    <row r="470" spans="1:11" x14ac:dyDescent="0.55000000000000004">
      <c r="A470" t="s">
        <v>498</v>
      </c>
      <c r="B470">
        <v>41</v>
      </c>
      <c r="C470" t="s">
        <v>45</v>
      </c>
      <c r="D470" t="s">
        <v>17</v>
      </c>
      <c r="E470">
        <v>1199447</v>
      </c>
      <c r="F470">
        <v>56</v>
      </c>
      <c r="G470">
        <v>193239</v>
      </c>
      <c r="H470" t="s">
        <v>14</v>
      </c>
      <c r="I470" t="s">
        <v>14</v>
      </c>
      <c r="J470">
        <v>55</v>
      </c>
      <c r="K470" t="s">
        <v>15</v>
      </c>
    </row>
    <row r="471" spans="1:11" x14ac:dyDescent="0.55000000000000004">
      <c r="A471" t="s">
        <v>499</v>
      </c>
      <c r="B471">
        <v>52</v>
      </c>
      <c r="C471" t="s">
        <v>27</v>
      </c>
      <c r="D471" t="s">
        <v>36</v>
      </c>
      <c r="E471">
        <v>6741514</v>
      </c>
      <c r="F471">
        <v>36</v>
      </c>
      <c r="G471">
        <v>269995</v>
      </c>
      <c r="H471" t="s">
        <v>14</v>
      </c>
      <c r="I471" t="s">
        <v>14</v>
      </c>
      <c r="J471">
        <v>70</v>
      </c>
      <c r="K471" t="s">
        <v>15</v>
      </c>
    </row>
    <row r="472" spans="1:11" x14ac:dyDescent="0.55000000000000004">
      <c r="A472" t="s">
        <v>500</v>
      </c>
      <c r="B472">
        <v>47</v>
      </c>
      <c r="C472" t="s">
        <v>45</v>
      </c>
      <c r="D472" t="s">
        <v>23</v>
      </c>
      <c r="E472">
        <v>7746596</v>
      </c>
      <c r="F472">
        <v>32</v>
      </c>
      <c r="G472">
        <v>92688</v>
      </c>
      <c r="H472" t="s">
        <v>14</v>
      </c>
      <c r="I472" t="s">
        <v>14</v>
      </c>
      <c r="J472">
        <v>75</v>
      </c>
      <c r="K472" t="s">
        <v>15</v>
      </c>
    </row>
    <row r="473" spans="1:11" x14ac:dyDescent="0.55000000000000004">
      <c r="A473" t="s">
        <v>501</v>
      </c>
      <c r="B473">
        <v>22</v>
      </c>
      <c r="C473" t="s">
        <v>22</v>
      </c>
      <c r="D473" t="s">
        <v>41</v>
      </c>
      <c r="E473">
        <v>848532</v>
      </c>
      <c r="F473">
        <v>18</v>
      </c>
      <c r="G473">
        <v>122882</v>
      </c>
      <c r="H473" t="s">
        <v>14</v>
      </c>
      <c r="I473" t="s">
        <v>14</v>
      </c>
      <c r="J473">
        <v>80</v>
      </c>
      <c r="K473" t="s">
        <v>15</v>
      </c>
    </row>
    <row r="474" spans="1:11" x14ac:dyDescent="0.55000000000000004">
      <c r="A474" t="s">
        <v>502</v>
      </c>
      <c r="B474">
        <v>31</v>
      </c>
      <c r="C474" t="s">
        <v>45</v>
      </c>
      <c r="D474" t="s">
        <v>17</v>
      </c>
      <c r="E474">
        <v>8609978</v>
      </c>
      <c r="F474">
        <v>36</v>
      </c>
      <c r="G474">
        <v>272809</v>
      </c>
      <c r="H474" t="s">
        <v>14</v>
      </c>
      <c r="I474" t="s">
        <v>14</v>
      </c>
      <c r="J474">
        <v>55</v>
      </c>
      <c r="K474" t="s">
        <v>15</v>
      </c>
    </row>
    <row r="475" spans="1:11" x14ac:dyDescent="0.55000000000000004">
      <c r="A475" t="s">
        <v>503</v>
      </c>
      <c r="B475">
        <v>28</v>
      </c>
      <c r="C475" t="s">
        <v>32</v>
      </c>
      <c r="D475" t="s">
        <v>17</v>
      </c>
      <c r="E475">
        <v>6454919</v>
      </c>
      <c r="F475">
        <v>35</v>
      </c>
      <c r="G475">
        <v>436285</v>
      </c>
      <c r="H475" t="s">
        <v>14</v>
      </c>
      <c r="I475" t="s">
        <v>24</v>
      </c>
      <c r="J475">
        <v>85</v>
      </c>
      <c r="K475" t="s">
        <v>25</v>
      </c>
    </row>
    <row r="476" spans="1:11" x14ac:dyDescent="0.55000000000000004">
      <c r="A476" t="s">
        <v>504</v>
      </c>
      <c r="B476">
        <v>69</v>
      </c>
      <c r="C476" t="s">
        <v>45</v>
      </c>
      <c r="D476" t="s">
        <v>17</v>
      </c>
      <c r="E476">
        <v>3966525</v>
      </c>
      <c r="F476">
        <v>28</v>
      </c>
      <c r="G476">
        <v>58695</v>
      </c>
      <c r="H476" t="s">
        <v>14</v>
      </c>
      <c r="I476" t="s">
        <v>14</v>
      </c>
      <c r="J476">
        <v>35</v>
      </c>
      <c r="K476" t="s">
        <v>18</v>
      </c>
    </row>
    <row r="477" spans="1:11" x14ac:dyDescent="0.55000000000000004">
      <c r="A477" t="s">
        <v>505</v>
      </c>
      <c r="B477">
        <v>62</v>
      </c>
      <c r="C477" t="s">
        <v>22</v>
      </c>
      <c r="D477" t="s">
        <v>41</v>
      </c>
      <c r="E477">
        <v>840736</v>
      </c>
      <c r="F477">
        <v>29</v>
      </c>
      <c r="G477">
        <v>142790</v>
      </c>
      <c r="H477" t="s">
        <v>14</v>
      </c>
      <c r="I477" t="s">
        <v>14</v>
      </c>
      <c r="J477">
        <v>80</v>
      </c>
      <c r="K477" t="s">
        <v>15</v>
      </c>
    </row>
    <row r="478" spans="1:11" x14ac:dyDescent="0.55000000000000004">
      <c r="A478" t="s">
        <v>506</v>
      </c>
      <c r="B478">
        <v>73</v>
      </c>
      <c r="C478" t="s">
        <v>12</v>
      </c>
      <c r="D478" t="s">
        <v>23</v>
      </c>
      <c r="E478">
        <v>2269410</v>
      </c>
      <c r="F478">
        <v>50</v>
      </c>
      <c r="G478">
        <v>430663</v>
      </c>
      <c r="H478" t="s">
        <v>14</v>
      </c>
      <c r="I478" t="s">
        <v>14</v>
      </c>
      <c r="J478">
        <v>85</v>
      </c>
      <c r="K478" t="s">
        <v>25</v>
      </c>
    </row>
    <row r="479" spans="1:11" x14ac:dyDescent="0.55000000000000004">
      <c r="A479" t="s">
        <v>507</v>
      </c>
      <c r="B479">
        <v>72</v>
      </c>
      <c r="C479" t="s">
        <v>30</v>
      </c>
      <c r="D479" t="s">
        <v>28</v>
      </c>
      <c r="E479">
        <v>7483451</v>
      </c>
      <c r="F479">
        <v>11</v>
      </c>
      <c r="G479">
        <v>328040</v>
      </c>
      <c r="H479" t="s">
        <v>14</v>
      </c>
      <c r="I479" t="s">
        <v>24</v>
      </c>
      <c r="J479">
        <v>80</v>
      </c>
      <c r="K479" t="s">
        <v>15</v>
      </c>
    </row>
    <row r="480" spans="1:11" x14ac:dyDescent="0.55000000000000004">
      <c r="A480" t="s">
        <v>508</v>
      </c>
      <c r="B480">
        <v>34</v>
      </c>
      <c r="C480" t="s">
        <v>22</v>
      </c>
      <c r="D480" t="s">
        <v>13</v>
      </c>
      <c r="E480">
        <v>9864260</v>
      </c>
      <c r="F480">
        <v>23</v>
      </c>
      <c r="G480">
        <v>284068</v>
      </c>
      <c r="H480" t="s">
        <v>14</v>
      </c>
      <c r="I480" t="s">
        <v>14</v>
      </c>
      <c r="J480">
        <v>45</v>
      </c>
      <c r="K480" t="s">
        <v>15</v>
      </c>
    </row>
    <row r="481" spans="1:11" x14ac:dyDescent="0.55000000000000004">
      <c r="A481" t="s">
        <v>509</v>
      </c>
      <c r="B481">
        <v>55</v>
      </c>
      <c r="C481" t="s">
        <v>27</v>
      </c>
      <c r="D481" t="s">
        <v>41</v>
      </c>
      <c r="E481">
        <v>5209595</v>
      </c>
      <c r="F481">
        <v>19</v>
      </c>
      <c r="G481">
        <v>305278</v>
      </c>
      <c r="H481" t="s">
        <v>14</v>
      </c>
      <c r="I481" t="s">
        <v>14</v>
      </c>
      <c r="J481">
        <v>80</v>
      </c>
      <c r="K481" t="s">
        <v>15</v>
      </c>
    </row>
    <row r="482" spans="1:11" x14ac:dyDescent="0.55000000000000004">
      <c r="A482" t="s">
        <v>510</v>
      </c>
      <c r="B482">
        <v>75</v>
      </c>
      <c r="C482" t="s">
        <v>12</v>
      </c>
      <c r="D482" t="s">
        <v>36</v>
      </c>
      <c r="E482">
        <v>7205438</v>
      </c>
      <c r="F482">
        <v>59</v>
      </c>
      <c r="G482">
        <v>36082</v>
      </c>
      <c r="H482" t="s">
        <v>14</v>
      </c>
      <c r="I482" t="s">
        <v>14</v>
      </c>
      <c r="J482">
        <v>50</v>
      </c>
      <c r="K482" t="s">
        <v>15</v>
      </c>
    </row>
    <row r="483" spans="1:11" x14ac:dyDescent="0.55000000000000004">
      <c r="A483" t="s">
        <v>511</v>
      </c>
      <c r="B483">
        <v>62</v>
      </c>
      <c r="C483" t="s">
        <v>27</v>
      </c>
      <c r="D483" t="s">
        <v>28</v>
      </c>
      <c r="E483">
        <v>2526183</v>
      </c>
      <c r="F483">
        <v>16</v>
      </c>
      <c r="G483">
        <v>81673</v>
      </c>
      <c r="H483" t="s">
        <v>14</v>
      </c>
      <c r="I483" t="s">
        <v>14</v>
      </c>
      <c r="J483">
        <v>40</v>
      </c>
      <c r="K483" t="s">
        <v>18</v>
      </c>
    </row>
    <row r="484" spans="1:11" x14ac:dyDescent="0.55000000000000004">
      <c r="A484" t="s">
        <v>512</v>
      </c>
      <c r="B484">
        <v>74</v>
      </c>
      <c r="C484" t="s">
        <v>22</v>
      </c>
      <c r="D484" t="s">
        <v>28</v>
      </c>
      <c r="E484">
        <v>6888425</v>
      </c>
      <c r="F484">
        <v>32</v>
      </c>
      <c r="G484">
        <v>79538</v>
      </c>
      <c r="H484" t="s">
        <v>14</v>
      </c>
      <c r="I484" t="s">
        <v>14</v>
      </c>
      <c r="J484">
        <v>50</v>
      </c>
      <c r="K484" t="s">
        <v>15</v>
      </c>
    </row>
    <row r="485" spans="1:11" x14ac:dyDescent="0.55000000000000004">
      <c r="A485" t="s">
        <v>513</v>
      </c>
      <c r="B485">
        <v>38</v>
      </c>
      <c r="C485" t="s">
        <v>40</v>
      </c>
      <c r="D485" t="s">
        <v>23</v>
      </c>
      <c r="E485">
        <v>7883162</v>
      </c>
      <c r="F485">
        <v>5</v>
      </c>
      <c r="G485">
        <v>337203</v>
      </c>
      <c r="H485" t="s">
        <v>14</v>
      </c>
      <c r="I485" t="s">
        <v>24</v>
      </c>
      <c r="J485">
        <v>95</v>
      </c>
      <c r="K485" t="s">
        <v>25</v>
      </c>
    </row>
    <row r="486" spans="1:11" x14ac:dyDescent="0.55000000000000004">
      <c r="A486" t="s">
        <v>514</v>
      </c>
      <c r="B486">
        <v>70</v>
      </c>
      <c r="C486" t="s">
        <v>12</v>
      </c>
      <c r="D486" t="s">
        <v>23</v>
      </c>
      <c r="E486">
        <v>8950558</v>
      </c>
      <c r="F486">
        <v>48</v>
      </c>
      <c r="G486">
        <v>150870</v>
      </c>
      <c r="H486" t="s">
        <v>14</v>
      </c>
      <c r="I486" t="s">
        <v>14</v>
      </c>
      <c r="J486">
        <v>85</v>
      </c>
      <c r="K486" t="s">
        <v>25</v>
      </c>
    </row>
    <row r="487" spans="1:11" x14ac:dyDescent="0.55000000000000004">
      <c r="A487" t="s">
        <v>515</v>
      </c>
      <c r="B487">
        <v>44</v>
      </c>
      <c r="C487" t="s">
        <v>45</v>
      </c>
      <c r="D487" t="s">
        <v>23</v>
      </c>
      <c r="E487">
        <v>5791002</v>
      </c>
      <c r="F487">
        <v>38</v>
      </c>
      <c r="G487">
        <v>6296</v>
      </c>
      <c r="H487" t="s">
        <v>14</v>
      </c>
      <c r="I487" t="s">
        <v>14</v>
      </c>
      <c r="J487">
        <v>65</v>
      </c>
      <c r="K487" t="s">
        <v>15</v>
      </c>
    </row>
    <row r="488" spans="1:11" x14ac:dyDescent="0.55000000000000004">
      <c r="A488" t="s">
        <v>516</v>
      </c>
      <c r="B488">
        <v>75</v>
      </c>
      <c r="C488" t="s">
        <v>12</v>
      </c>
      <c r="D488" t="s">
        <v>28</v>
      </c>
      <c r="E488">
        <v>7991502</v>
      </c>
      <c r="F488">
        <v>41</v>
      </c>
      <c r="G488">
        <v>353202</v>
      </c>
      <c r="H488" t="s">
        <v>14</v>
      </c>
      <c r="I488" t="s">
        <v>14</v>
      </c>
      <c r="J488">
        <v>60</v>
      </c>
      <c r="K488" t="s">
        <v>15</v>
      </c>
    </row>
    <row r="489" spans="1:11" x14ac:dyDescent="0.55000000000000004">
      <c r="A489" t="s">
        <v>517</v>
      </c>
      <c r="B489">
        <v>75</v>
      </c>
      <c r="C489" t="s">
        <v>12</v>
      </c>
      <c r="D489" t="s">
        <v>17</v>
      </c>
      <c r="E489">
        <v>6972565</v>
      </c>
      <c r="F489">
        <v>14</v>
      </c>
      <c r="G489">
        <v>230256</v>
      </c>
      <c r="H489" t="s">
        <v>14</v>
      </c>
      <c r="I489" t="s">
        <v>14</v>
      </c>
      <c r="J489">
        <v>45</v>
      </c>
      <c r="K489" t="s">
        <v>15</v>
      </c>
    </row>
    <row r="490" spans="1:11" x14ac:dyDescent="0.55000000000000004">
      <c r="A490" t="s">
        <v>518</v>
      </c>
      <c r="B490">
        <v>52</v>
      </c>
      <c r="C490" t="s">
        <v>32</v>
      </c>
      <c r="D490" t="s">
        <v>41</v>
      </c>
      <c r="E490">
        <v>5057902</v>
      </c>
      <c r="F490">
        <v>22</v>
      </c>
      <c r="G490">
        <v>291948</v>
      </c>
      <c r="H490" t="s">
        <v>14</v>
      </c>
      <c r="I490" t="s">
        <v>24</v>
      </c>
      <c r="J490">
        <v>110</v>
      </c>
      <c r="K490" t="s">
        <v>25</v>
      </c>
    </row>
    <row r="491" spans="1:11" x14ac:dyDescent="0.55000000000000004">
      <c r="A491" t="s">
        <v>519</v>
      </c>
      <c r="B491">
        <v>57</v>
      </c>
      <c r="C491" t="s">
        <v>45</v>
      </c>
      <c r="D491" t="s">
        <v>41</v>
      </c>
      <c r="E491">
        <v>1112172</v>
      </c>
      <c r="F491">
        <v>3</v>
      </c>
      <c r="G491">
        <v>57205</v>
      </c>
      <c r="H491" t="s">
        <v>14</v>
      </c>
      <c r="I491" t="s">
        <v>14</v>
      </c>
      <c r="J491">
        <v>60</v>
      </c>
      <c r="K491" t="s">
        <v>15</v>
      </c>
    </row>
    <row r="492" spans="1:11" x14ac:dyDescent="0.55000000000000004">
      <c r="A492" t="s">
        <v>520</v>
      </c>
      <c r="B492">
        <v>74</v>
      </c>
      <c r="C492" t="s">
        <v>45</v>
      </c>
      <c r="D492" t="s">
        <v>13</v>
      </c>
      <c r="E492">
        <v>2384353</v>
      </c>
      <c r="F492">
        <v>60</v>
      </c>
      <c r="G492">
        <v>454656</v>
      </c>
      <c r="H492" t="s">
        <v>14</v>
      </c>
      <c r="I492" t="s">
        <v>14</v>
      </c>
      <c r="J492">
        <v>55</v>
      </c>
      <c r="K492" t="s">
        <v>15</v>
      </c>
    </row>
    <row r="493" spans="1:11" x14ac:dyDescent="0.55000000000000004">
      <c r="A493" t="s">
        <v>521</v>
      </c>
      <c r="B493">
        <v>50</v>
      </c>
      <c r="C493" t="s">
        <v>20</v>
      </c>
      <c r="D493" t="s">
        <v>23</v>
      </c>
      <c r="E493">
        <v>3694336</v>
      </c>
      <c r="F493">
        <v>45</v>
      </c>
      <c r="G493">
        <v>481791</v>
      </c>
      <c r="H493" t="s">
        <v>14</v>
      </c>
      <c r="I493" t="s">
        <v>14</v>
      </c>
      <c r="J493">
        <v>85</v>
      </c>
      <c r="K493" t="s">
        <v>25</v>
      </c>
    </row>
    <row r="494" spans="1:11" x14ac:dyDescent="0.55000000000000004">
      <c r="A494" t="s">
        <v>522</v>
      </c>
      <c r="B494">
        <v>62</v>
      </c>
      <c r="C494" t="s">
        <v>32</v>
      </c>
      <c r="D494" t="s">
        <v>36</v>
      </c>
      <c r="E494">
        <v>4897283</v>
      </c>
      <c r="F494">
        <v>6</v>
      </c>
      <c r="G494">
        <v>348192</v>
      </c>
      <c r="H494" t="s">
        <v>14</v>
      </c>
      <c r="I494" t="s">
        <v>24</v>
      </c>
      <c r="J494">
        <v>80</v>
      </c>
      <c r="K494" t="s">
        <v>15</v>
      </c>
    </row>
    <row r="495" spans="1:11" x14ac:dyDescent="0.55000000000000004">
      <c r="A495" t="s">
        <v>523</v>
      </c>
      <c r="B495">
        <v>26</v>
      </c>
      <c r="C495" t="s">
        <v>30</v>
      </c>
      <c r="D495" t="s">
        <v>28</v>
      </c>
      <c r="E495">
        <v>3077050</v>
      </c>
      <c r="F495">
        <v>4</v>
      </c>
      <c r="G495">
        <v>212797</v>
      </c>
      <c r="H495" t="s">
        <v>14</v>
      </c>
      <c r="I495" t="s">
        <v>24</v>
      </c>
      <c r="J495">
        <v>70</v>
      </c>
      <c r="K495" t="s">
        <v>15</v>
      </c>
    </row>
    <row r="496" spans="1:11" x14ac:dyDescent="0.55000000000000004">
      <c r="A496" t="s">
        <v>524</v>
      </c>
      <c r="B496">
        <v>67</v>
      </c>
      <c r="C496" t="s">
        <v>22</v>
      </c>
      <c r="D496" t="s">
        <v>23</v>
      </c>
      <c r="E496">
        <v>1830068</v>
      </c>
      <c r="F496">
        <v>46</v>
      </c>
      <c r="G496">
        <v>54903</v>
      </c>
      <c r="H496" t="s">
        <v>24</v>
      </c>
      <c r="I496" t="s">
        <v>14</v>
      </c>
      <c r="J496">
        <v>115</v>
      </c>
      <c r="K496" t="s">
        <v>25</v>
      </c>
    </row>
    <row r="497" spans="1:11" x14ac:dyDescent="0.55000000000000004">
      <c r="A497" t="s">
        <v>525</v>
      </c>
      <c r="B497">
        <v>51</v>
      </c>
      <c r="C497" t="s">
        <v>12</v>
      </c>
      <c r="D497" t="s">
        <v>36</v>
      </c>
      <c r="E497">
        <v>4094852</v>
      </c>
      <c r="F497">
        <v>34</v>
      </c>
      <c r="G497">
        <v>361506</v>
      </c>
      <c r="H497" t="s">
        <v>14</v>
      </c>
      <c r="I497" t="s">
        <v>14</v>
      </c>
      <c r="J497">
        <v>70</v>
      </c>
      <c r="K497" t="s">
        <v>15</v>
      </c>
    </row>
    <row r="498" spans="1:11" x14ac:dyDescent="0.55000000000000004">
      <c r="A498" t="s">
        <v>526</v>
      </c>
      <c r="B498">
        <v>21</v>
      </c>
      <c r="C498" t="s">
        <v>30</v>
      </c>
      <c r="D498" t="s">
        <v>13</v>
      </c>
      <c r="E498">
        <v>7385252</v>
      </c>
      <c r="F498">
        <v>45</v>
      </c>
      <c r="G498">
        <v>74297</v>
      </c>
      <c r="H498" t="s">
        <v>14</v>
      </c>
      <c r="I498" t="s">
        <v>24</v>
      </c>
      <c r="J498">
        <v>75</v>
      </c>
      <c r="K498" t="s">
        <v>15</v>
      </c>
    </row>
    <row r="499" spans="1:11" x14ac:dyDescent="0.55000000000000004">
      <c r="A499" t="s">
        <v>527</v>
      </c>
      <c r="B499">
        <v>35</v>
      </c>
      <c r="C499" t="s">
        <v>40</v>
      </c>
      <c r="D499" t="s">
        <v>13</v>
      </c>
      <c r="E499">
        <v>2018442</v>
      </c>
      <c r="F499">
        <v>7</v>
      </c>
      <c r="G499">
        <v>169286</v>
      </c>
      <c r="H499" t="s">
        <v>14</v>
      </c>
      <c r="I499" t="s">
        <v>24</v>
      </c>
      <c r="J499">
        <v>65</v>
      </c>
      <c r="K499" t="s">
        <v>15</v>
      </c>
    </row>
    <row r="500" spans="1:11" x14ac:dyDescent="0.55000000000000004">
      <c r="A500" t="s">
        <v>528</v>
      </c>
      <c r="B500">
        <v>40</v>
      </c>
      <c r="C500" t="s">
        <v>27</v>
      </c>
      <c r="D500" t="s">
        <v>23</v>
      </c>
      <c r="E500">
        <v>2533823</v>
      </c>
      <c r="F500">
        <v>42</v>
      </c>
      <c r="G500">
        <v>360014</v>
      </c>
      <c r="H500" t="s">
        <v>14</v>
      </c>
      <c r="I500" t="s">
        <v>14</v>
      </c>
      <c r="J500">
        <v>85</v>
      </c>
      <c r="K500" t="s">
        <v>25</v>
      </c>
    </row>
    <row r="501" spans="1:11" x14ac:dyDescent="0.55000000000000004">
      <c r="A501" t="s">
        <v>529</v>
      </c>
      <c r="B501">
        <v>54</v>
      </c>
      <c r="C501" t="s">
        <v>20</v>
      </c>
      <c r="D501" t="s">
        <v>17</v>
      </c>
      <c r="E501">
        <v>3053418</v>
      </c>
      <c r="F501">
        <v>29</v>
      </c>
      <c r="G501">
        <v>189123</v>
      </c>
      <c r="H501" t="s">
        <v>14</v>
      </c>
      <c r="I501" t="s">
        <v>14</v>
      </c>
      <c r="J501">
        <v>45</v>
      </c>
      <c r="K501" t="s">
        <v>15</v>
      </c>
    </row>
  </sheetData>
  <conditionalFormatting sqref="J1:J1048576">
    <cfRule type="cellIs" dxfId="2" priority="3" operator="between">
      <formula>0</formula>
      <formula>40</formula>
    </cfRule>
  </conditionalFormatting>
  <conditionalFormatting sqref="J2:J501">
    <cfRule type="cellIs" dxfId="1" priority="1" operator="greaterThan">
      <formula>80</formula>
    </cfRule>
    <cfRule type="cellIs" dxfId="0" priority="2" operator="between">
      <formula>41</formula>
      <formula>80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109E6-EA50-409F-BAE3-0022A216ABBB}">
  <dimension ref="A2:F36"/>
  <sheetViews>
    <sheetView topLeftCell="A2" zoomScale="39" workbookViewId="0">
      <selection activeCell="D3" sqref="D3"/>
    </sheetView>
  </sheetViews>
  <sheetFormatPr defaultRowHeight="34.799999999999997" x14ac:dyDescent="0.55000000000000004"/>
  <cols>
    <col min="1" max="1" width="13.4609375" bestFit="1" customWidth="1"/>
    <col min="2" max="2" width="21.73046875" bestFit="1" customWidth="1"/>
    <col min="4" max="4" width="13.4609375" bestFit="1" customWidth="1"/>
    <col min="5" max="6" width="21.73046875" bestFit="1" customWidth="1"/>
  </cols>
  <sheetData>
    <row r="2" spans="1:6" x14ac:dyDescent="0.55000000000000004">
      <c r="D2" s="7" t="s">
        <v>553</v>
      </c>
    </row>
    <row r="3" spans="1:6" x14ac:dyDescent="0.55000000000000004">
      <c r="A3" s="5" t="s">
        <v>541</v>
      </c>
    </row>
    <row r="4" spans="1:6" x14ac:dyDescent="0.55000000000000004">
      <c r="E4" t="s">
        <v>551</v>
      </c>
    </row>
    <row r="5" spans="1:6" x14ac:dyDescent="0.55000000000000004">
      <c r="A5" s="5"/>
    </row>
    <row r="6" spans="1:6" x14ac:dyDescent="0.55000000000000004">
      <c r="A6" t="s">
        <v>545</v>
      </c>
      <c r="E6" s="4" t="s">
        <v>10</v>
      </c>
      <c r="F6" t="s">
        <v>544</v>
      </c>
    </row>
    <row r="8" spans="1:6" x14ac:dyDescent="0.55000000000000004">
      <c r="A8" s="4" t="s">
        <v>538</v>
      </c>
      <c r="B8" t="s">
        <v>540</v>
      </c>
      <c r="E8" s="4" t="s">
        <v>538</v>
      </c>
      <c r="F8" t="s">
        <v>540</v>
      </c>
    </row>
    <row r="9" spans="1:6" x14ac:dyDescent="0.55000000000000004">
      <c r="A9" s="3" t="s">
        <v>25</v>
      </c>
      <c r="B9">
        <v>174</v>
      </c>
      <c r="E9" s="3" t="s">
        <v>12</v>
      </c>
      <c r="F9">
        <v>54</v>
      </c>
    </row>
    <row r="10" spans="1:6" x14ac:dyDescent="0.55000000000000004">
      <c r="A10" s="3" t="s">
        <v>18</v>
      </c>
      <c r="B10">
        <v>49</v>
      </c>
      <c r="E10" s="3" t="s">
        <v>20</v>
      </c>
      <c r="F10">
        <v>57</v>
      </c>
    </row>
    <row r="11" spans="1:6" x14ac:dyDescent="0.55000000000000004">
      <c r="A11" s="3" t="s">
        <v>15</v>
      </c>
      <c r="B11">
        <v>277</v>
      </c>
      <c r="E11" s="3" t="s">
        <v>30</v>
      </c>
      <c r="F11">
        <v>60</v>
      </c>
    </row>
    <row r="12" spans="1:6" x14ac:dyDescent="0.55000000000000004">
      <c r="A12" s="3" t="s">
        <v>539</v>
      </c>
      <c r="B12">
        <v>500</v>
      </c>
      <c r="E12" s="3" t="s">
        <v>32</v>
      </c>
      <c r="F12">
        <v>61</v>
      </c>
    </row>
    <row r="13" spans="1:6" x14ac:dyDescent="0.55000000000000004">
      <c r="E13" s="3" t="s">
        <v>40</v>
      </c>
      <c r="F13">
        <v>64</v>
      </c>
    </row>
    <row r="14" spans="1:6" x14ac:dyDescent="0.55000000000000004">
      <c r="E14" s="3" t="s">
        <v>22</v>
      </c>
      <c r="F14">
        <v>66</v>
      </c>
    </row>
    <row r="15" spans="1:6" x14ac:dyDescent="0.55000000000000004">
      <c r="E15" s="3" t="s">
        <v>45</v>
      </c>
      <c r="F15">
        <v>66</v>
      </c>
    </row>
    <row r="16" spans="1:6" x14ac:dyDescent="0.55000000000000004">
      <c r="A16" t="s">
        <v>546</v>
      </c>
      <c r="E16" s="3" t="s">
        <v>27</v>
      </c>
      <c r="F16">
        <v>72</v>
      </c>
    </row>
    <row r="17" spans="1:6" x14ac:dyDescent="0.55000000000000004">
      <c r="E17" s="3" t="s">
        <v>539</v>
      </c>
      <c r="F17">
        <v>500</v>
      </c>
    </row>
    <row r="18" spans="1:6" x14ac:dyDescent="0.55000000000000004">
      <c r="B18" t="s">
        <v>542</v>
      </c>
    </row>
    <row r="19" spans="1:6" x14ac:dyDescent="0.55000000000000004">
      <c r="A19" s="3" t="s">
        <v>13</v>
      </c>
      <c r="B19" s="6">
        <v>57.926829268292686</v>
      </c>
      <c r="D19" t="s">
        <v>543</v>
      </c>
    </row>
    <row r="20" spans="1:6" x14ac:dyDescent="0.55000000000000004">
      <c r="A20" s="3" t="s">
        <v>17</v>
      </c>
      <c r="B20" s="6">
        <v>58.203883495145632</v>
      </c>
    </row>
    <row r="21" spans="1:6" x14ac:dyDescent="0.55000000000000004">
      <c r="A21" s="3" t="s">
        <v>28</v>
      </c>
      <c r="B21" s="6">
        <v>65.543478260869563</v>
      </c>
      <c r="D21" s="4" t="s">
        <v>538</v>
      </c>
      <c r="E21" t="s">
        <v>542</v>
      </c>
    </row>
    <row r="22" spans="1:6" x14ac:dyDescent="0.55000000000000004">
      <c r="A22" s="3" t="s">
        <v>36</v>
      </c>
      <c r="B22" s="6">
        <v>75</v>
      </c>
      <c r="D22" s="3" t="s">
        <v>14</v>
      </c>
      <c r="E22">
        <v>70.05252100840336</v>
      </c>
    </row>
    <row r="23" spans="1:6" x14ac:dyDescent="0.55000000000000004">
      <c r="A23" s="3" t="s">
        <v>23</v>
      </c>
      <c r="B23" s="6">
        <v>89.318181818181813</v>
      </c>
      <c r="D23" s="3" t="s">
        <v>24</v>
      </c>
      <c r="E23">
        <v>110.83333333333333</v>
      </c>
    </row>
    <row r="24" spans="1:6" x14ac:dyDescent="0.55000000000000004">
      <c r="A24" s="3" t="s">
        <v>41</v>
      </c>
      <c r="B24" s="6">
        <v>93.043478260869563</v>
      </c>
      <c r="D24" s="3" t="s">
        <v>539</v>
      </c>
      <c r="E24">
        <v>72.010000000000005</v>
      </c>
    </row>
    <row r="25" spans="1:6" x14ac:dyDescent="0.55000000000000004">
      <c r="A25" s="3" t="s">
        <v>539</v>
      </c>
      <c r="B25">
        <v>72.010000000000005</v>
      </c>
    </row>
    <row r="26" spans="1:6" x14ac:dyDescent="0.55000000000000004">
      <c r="A26" s="3"/>
    </row>
    <row r="27" spans="1:6" x14ac:dyDescent="0.55000000000000004">
      <c r="A27" s="3"/>
    </row>
    <row r="28" spans="1:6" x14ac:dyDescent="0.55000000000000004">
      <c r="A28" s="3" t="s">
        <v>547</v>
      </c>
    </row>
    <row r="29" spans="1:6" x14ac:dyDescent="0.55000000000000004">
      <c r="A29" s="3"/>
    </row>
    <row r="30" spans="1:6" x14ac:dyDescent="0.55000000000000004">
      <c r="A30" s="1" t="s">
        <v>530</v>
      </c>
      <c r="B30" s="1" t="s">
        <v>531</v>
      </c>
    </row>
    <row r="31" spans="1:6" x14ac:dyDescent="0.55000000000000004">
      <c r="A31" s="2" t="s">
        <v>532</v>
      </c>
      <c r="B31" s="2">
        <f>COUNTA(tblcustomers[Customer_ID])</f>
        <v>500</v>
      </c>
    </row>
    <row r="32" spans="1:6" x14ac:dyDescent="0.55000000000000004">
      <c r="A32" s="2" t="s">
        <v>533</v>
      </c>
      <c r="B32">
        <f>COUNTIF(tblcustomers[Risk_Category],"High Risk")</f>
        <v>174</v>
      </c>
    </row>
    <row r="33" spans="1:2" x14ac:dyDescent="0.55000000000000004">
      <c r="A33" s="2" t="s">
        <v>534</v>
      </c>
      <c r="B33" s="2">
        <f>COUNTIF(tblcustomers[Risk_Category],"Medium Risk")</f>
        <v>277</v>
      </c>
    </row>
    <row r="34" spans="1:2" x14ac:dyDescent="0.55000000000000004">
      <c r="A34" s="2" t="s">
        <v>535</v>
      </c>
      <c r="B34" s="2">
        <f>COUNTIF(tblcustomers[Risk_Category],"Low Risk")</f>
        <v>49</v>
      </c>
    </row>
    <row r="35" spans="1:2" x14ac:dyDescent="0.55000000000000004">
      <c r="A35" s="2" t="s">
        <v>536</v>
      </c>
      <c r="B35" s="2">
        <f>COUNTIF(tblcustomers[PEP],"Yes")</f>
        <v>24</v>
      </c>
    </row>
    <row r="36" spans="1:2" x14ac:dyDescent="0.55000000000000004">
      <c r="A36" s="2" t="s">
        <v>537</v>
      </c>
      <c r="B36" s="2">
        <f>AVERAGE(tblcustomers[Risk_Score])</f>
        <v>72.010000000000005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7404-D081-42E0-AE2A-F25D683CC196}">
  <dimension ref="A2:T36"/>
  <sheetViews>
    <sheetView showGridLines="0" zoomScale="32" zoomScaleNormal="38" workbookViewId="0">
      <selection activeCell="A3" sqref="A3:T3"/>
    </sheetView>
  </sheetViews>
  <sheetFormatPr defaultRowHeight="34.799999999999997" x14ac:dyDescent="0.55000000000000004"/>
  <cols>
    <col min="1" max="1" width="11.11328125" style="8" customWidth="1"/>
    <col min="2" max="2" width="18.8046875" style="8" customWidth="1"/>
    <col min="3" max="16384" width="8.61328125" style="8"/>
  </cols>
  <sheetData>
    <row r="2" spans="1:20" ht="52.2" customHeight="1" x14ac:dyDescent="0.55000000000000004">
      <c r="A2" s="16" t="s">
        <v>552</v>
      </c>
      <c r="B2" s="16"/>
      <c r="C2" s="16"/>
      <c r="D2" s="16"/>
      <c r="E2" s="16"/>
      <c r="F2" s="16"/>
      <c r="G2" s="16"/>
      <c r="H2" s="16"/>
      <c r="I2" s="16"/>
      <c r="J2" s="16"/>
      <c r="K2" s="16"/>
      <c r="L2" s="16"/>
      <c r="M2" s="16"/>
      <c r="N2" s="16"/>
      <c r="O2" s="16"/>
      <c r="P2" s="16"/>
      <c r="Q2" s="16"/>
      <c r="R2" s="16"/>
      <c r="S2" s="16"/>
      <c r="T2" s="16"/>
    </row>
    <row r="3" spans="1:20" ht="37.200000000000003" x14ac:dyDescent="0.55000000000000004">
      <c r="A3" s="17" t="s">
        <v>550</v>
      </c>
      <c r="B3" s="17"/>
      <c r="C3" s="17"/>
      <c r="D3" s="17"/>
      <c r="E3" s="17"/>
      <c r="F3" s="17"/>
      <c r="G3" s="17"/>
      <c r="H3" s="17"/>
      <c r="I3" s="17"/>
      <c r="J3" s="17"/>
      <c r="K3" s="17"/>
      <c r="L3" s="17"/>
      <c r="M3" s="17"/>
      <c r="N3" s="17"/>
      <c r="O3" s="17"/>
      <c r="P3" s="17"/>
      <c r="Q3" s="17"/>
      <c r="R3" s="17"/>
      <c r="S3" s="17"/>
      <c r="T3" s="17"/>
    </row>
    <row r="4" spans="1:20" x14ac:dyDescent="0.55000000000000004">
      <c r="A4" s="14"/>
      <c r="B4" s="14"/>
      <c r="C4" s="14"/>
      <c r="D4" s="14"/>
      <c r="E4" s="14"/>
      <c r="F4" s="14"/>
      <c r="G4" s="14"/>
      <c r="H4" s="14"/>
      <c r="I4" s="14"/>
      <c r="J4" s="14"/>
      <c r="K4" s="14"/>
      <c r="L4" s="14"/>
    </row>
    <row r="5" spans="1:20" x14ac:dyDescent="0.55000000000000004">
      <c r="A5" s="9"/>
      <c r="B5" s="9"/>
      <c r="C5" s="9"/>
      <c r="D5" s="9"/>
      <c r="E5" s="9"/>
      <c r="F5" s="9"/>
      <c r="G5" s="9"/>
      <c r="H5" s="9"/>
      <c r="I5" s="9"/>
      <c r="J5" s="9"/>
      <c r="K5" s="9"/>
      <c r="L5" s="9"/>
    </row>
    <row r="6" spans="1:20" x14ac:dyDescent="0.55000000000000004">
      <c r="C6" s="10"/>
    </row>
    <row r="7" spans="1:20" x14ac:dyDescent="0.55000000000000004">
      <c r="C7" s="10"/>
    </row>
    <row r="8" spans="1:20" x14ac:dyDescent="0.55000000000000004">
      <c r="C8" s="10"/>
    </row>
    <row r="9" spans="1:20" x14ac:dyDescent="0.55000000000000004">
      <c r="C9" s="10"/>
    </row>
    <row r="10" spans="1:20" x14ac:dyDescent="0.55000000000000004">
      <c r="G10" s="11"/>
      <c r="H10" s="11"/>
    </row>
    <row r="11" spans="1:20" x14ac:dyDescent="0.55000000000000004">
      <c r="G11" s="12"/>
      <c r="H11" s="12"/>
    </row>
    <row r="12" spans="1:20" x14ac:dyDescent="0.55000000000000004">
      <c r="G12" s="12"/>
    </row>
    <row r="13" spans="1:20" x14ac:dyDescent="0.55000000000000004">
      <c r="G13" s="12"/>
      <c r="H13" s="12"/>
    </row>
    <row r="14" spans="1:20" x14ac:dyDescent="0.55000000000000004">
      <c r="G14" s="12"/>
      <c r="H14" s="12"/>
    </row>
    <row r="15" spans="1:20" x14ac:dyDescent="0.55000000000000004">
      <c r="G15" s="12"/>
      <c r="H15" s="12"/>
    </row>
    <row r="16" spans="1:20" x14ac:dyDescent="0.55000000000000004">
      <c r="G16" s="12"/>
      <c r="H16" s="12"/>
    </row>
    <row r="33" spans="10:13" ht="99" customHeight="1" x14ac:dyDescent="0.55000000000000004">
      <c r="J33" s="15"/>
      <c r="K33" s="15"/>
      <c r="L33" s="15"/>
      <c r="M33" s="15"/>
    </row>
    <row r="34" spans="10:13" ht="77.400000000000006" customHeight="1" x14ac:dyDescent="0.55000000000000004">
      <c r="J34" s="13"/>
      <c r="K34" s="13"/>
      <c r="L34" s="13"/>
      <c r="M34" s="13"/>
    </row>
    <row r="35" spans="10:13" x14ac:dyDescent="0.55000000000000004">
      <c r="M35" s="8" t="s">
        <v>548</v>
      </c>
    </row>
    <row r="36" spans="10:13" x14ac:dyDescent="0.55000000000000004">
      <c r="M36" s="8" t="s">
        <v>549</v>
      </c>
    </row>
  </sheetData>
  <mergeCells count="4">
    <mergeCell ref="A4:L4"/>
    <mergeCell ref="J33:M33"/>
    <mergeCell ref="A2:T2"/>
    <mergeCell ref="A3: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tblcustomers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Pritesh Panchal</dc:creator>
  <cp:lastModifiedBy>t22075</cp:lastModifiedBy>
  <dcterms:created xsi:type="dcterms:W3CDTF">2026-06-09T13:28:30Z</dcterms:created>
  <dcterms:modified xsi:type="dcterms:W3CDTF">2026-06-30T05:27:36Z</dcterms:modified>
</cp:coreProperties>
</file>